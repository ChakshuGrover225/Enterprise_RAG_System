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 2026 Attendance" sheetId="1" state="visible" r:id="rId3"/>
    <sheet name="Leave Balance FY26-27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<sst xmlns="http://schemas.openxmlformats.org/spreadsheetml/2006/main" count="595" uniqueCount="96">
  <si>
    <t xml:space="preserve">Solara Renewables — Monthly Attendance &amp; Leave Register</t>
  </si>
  <si>
    <t xml:space="preserve">Month: September 2026 | Codes: P=Present, WO=Week Off, PL=Privilege Leave, SL=Sick Leave, CL=Casual Leave, LOP=Loss of Pay, H=Public Holiday | Public holiday: 07-Sep-2026 (Ganesh Chaturthi)</t>
  </si>
  <si>
    <t xml:space="preserve">Employee ID</t>
  </si>
  <si>
    <t xml:space="preserve">Name</t>
  </si>
  <si>
    <t xml:space="preserve">Department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</si>
  <si>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</si>
  <si>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</si>
  <si>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</si>
  <si>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</si>
  <si>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</si>
  <si>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</si>
  <si>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</si>
  <si>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</si>
  <si>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</si>
  <si>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</si>
  <si>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</si>
  <si>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</si>
  <si>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</si>
  <si>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</si>
  <si>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</si>
  <si>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</si>
  <si>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</si>
  <si>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</si>
  <si>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</si>
  <si>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</si>
  <si>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</si>
  <si>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</si>
  <si>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</si>
  <si>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</si>
  <si>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</si>
  <si>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</si>
  <si>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</si>
  <si>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</si>
  <si>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</si>
  <si>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</si>
  <si>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Present</t>
  </si>
  <si>
    <t xml:space="preserve">Leave Days</t>
  </si>
  <si>
    <t xml:space="preserve">LOP Days</t>
  </si>
  <si>
    <t xml:space="preserve">SOL-EMP-0006</t>
  </si>
  <si>
    <t xml:space="preserve">Ananya Rao</t>
  </si>
  <si>
    <t xml:space="preserve">Human Resources &amp; Admin</t>
  </si>
  <si>
    <t xml:space="preserve">P</t>
  </si>
  <si>
    <t xml:space="preserve">WO</t>
  </si>
  <si>
    <t xml:space="preserve">H</t>
  </si>
  <si>
    <t xml:space="preserve">PL</t>
  </si>
  <si>
    <t xml:space="preserve">SOL-EMP-0008</t>
  </si>
  <si>
    <t xml:space="preserve">Karthik Subramaniam</t>
  </si>
  <si>
    <t xml:space="preserve">SOL-EMP-0009</t>
  </si>
  <si>
    <t xml:space="preserve">Devika Shah</t>
  </si>
  <si>
    <t xml:space="preserve">SL</t>
  </si>
  <si>
    <t xml:space="preserve">CL</t>
  </si>
  <si>
    <t xml:space="preserve">SOL-EMP-0010</t>
  </si>
  <si>
    <t xml:space="preserve">Pooja Verma</t>
  </si>
  <si>
    <t xml:space="preserve">SOL-EMP-0139</t>
  </si>
  <si>
    <t xml:space="preserve">Sneha Patil</t>
  </si>
  <si>
    <t xml:space="preserve">Quality Assurance</t>
  </si>
  <si>
    <t xml:space="preserve">SOL-EMP-0176</t>
  </si>
  <si>
    <t xml:space="preserve">Rohan Deshpande</t>
  </si>
  <si>
    <t xml:space="preserve">Manufacturing &amp; Production</t>
  </si>
  <si>
    <t xml:space="preserve">SOL-EMP-0288</t>
  </si>
  <si>
    <t xml:space="preserve">Meera Joshi</t>
  </si>
  <si>
    <t xml:space="preserve">R&amp;D &amp; Engineering</t>
  </si>
  <si>
    <t xml:space="preserve">SOL-EMP-0044</t>
  </si>
  <si>
    <t xml:space="preserve">Meenal Kanetkar</t>
  </si>
  <si>
    <t xml:space="preserve">SOL-EMP-0051</t>
  </si>
  <si>
    <t xml:space="preserve">Suresh Pillai</t>
  </si>
  <si>
    <t xml:space="preserve">Supply Chain &amp; Procurement</t>
  </si>
  <si>
    <t xml:space="preserve">SOL-EMP-0121</t>
  </si>
  <si>
    <t xml:space="preserve">Nikhil Bhatt</t>
  </si>
  <si>
    <t xml:space="preserve">SOL-EMP-0007</t>
  </si>
  <si>
    <t xml:space="preserve">Farhan Sheikh</t>
  </si>
  <si>
    <t xml:space="preserve">Information Technology</t>
  </si>
  <si>
    <t xml:space="preserve">SOL-EMP-0003</t>
  </si>
  <si>
    <t xml:space="preserve">Vikram Desai</t>
  </si>
  <si>
    <t xml:space="preserve">SOL-EMP-0004</t>
  </si>
  <si>
    <t xml:space="preserve">Sanjana Kulkarni</t>
  </si>
  <si>
    <t xml:space="preserve">SOL-EMP-0005</t>
  </si>
  <si>
    <t xml:space="preserve">Arjun Nair</t>
  </si>
  <si>
    <t xml:space="preserve">Sales &amp; Marketing</t>
  </si>
  <si>
    <t xml:space="preserve">SOL-EMP-0002</t>
  </si>
  <si>
    <t xml:space="preserve">Priya Iyer</t>
  </si>
  <si>
    <t xml:space="preserve">Finance &amp; Accounts</t>
  </si>
  <si>
    <t xml:space="preserve">Legend</t>
  </si>
  <si>
    <t xml:space="preserve">Yellow = approved leave (PL/SL/CL).  Red = Loss of Pay (unapproved / balance exhausted).  Green = public holiday.</t>
  </si>
  <si>
    <t xml:space="preserve">Source: Biometric attendance system (eSSL) reconciled with Leave Management Module in HRIS, exported by HR Ops on 01-Oct-2026 for prior month.</t>
  </si>
  <si>
    <t xml:space="preserve">Solara Renewables — Annual Leave Balance, FY 2026-27</t>
  </si>
  <si>
    <t xml:space="preserve">Entitlement per policy: PL 15/year (accrued 1.25/month), SL 8/year, CL 6/year, Comp-off as earned. As of 30-Sep-2026.</t>
  </si>
  <si>
    <t xml:space="preserve">PL Opening</t>
  </si>
  <si>
    <t xml:space="preserve">PL Availed</t>
  </si>
  <si>
    <t xml:space="preserve">PL Balance</t>
  </si>
  <si>
    <t xml:space="preserve">SL Opening</t>
  </si>
  <si>
    <t xml:space="preserve">SL Availed</t>
  </si>
  <si>
    <t xml:space="preserve">SL Balance</t>
  </si>
  <si>
    <t xml:space="preserve">CL Opening</t>
  </si>
  <si>
    <t xml:space="preserve">CL Availed</t>
  </si>
  <si>
    <t xml:space="preserve">CL Balance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</si>
</sst>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F2D9"/>
        <bgColor rgb="FFCCFFFF"/>
      </patternFill>
    </fill>
    <fill>
      <patternFill patternType="solid">
        <fgColor rgb="FFFFF2CC"/>
        <bgColor rgb="FFF2F6FA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33" min="4" style="0" width="3.2"/>
    <col collapsed="false" customWidth="true" hidden="false" outlineLevel="0" max="34" min="34" style="0" width="10"/>
    <col collapsed="false" customWidth="true" hidden="false" outlineLevel="0" max="35" min="35" style="0" width="11"/>
    <col collapsed="false" customWidth="true" hidden="false" outlineLevel="0" max="36" min="36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40</v>
      </c>
      <c r="D5" s="5" t="s">
        <v>41</v>
      </c>
      <c r="E5" s="5" t="s">
        <v>41</v>
      </c>
      <c r="F5" s="5" t="s">
        <v>41</v>
      </c>
      <c r="G5" s="5" t="s">
        <v>41</v>
      </c>
      <c r="H5" s="5" t="s">
        <v>41</v>
      </c>
      <c r="I5" s="5" t="s">
        <v>42</v>
      </c>
      <c r="J5" s="6" t="s">
        <v>43</v>
      </c>
      <c r="K5" s="5" t="s">
        <v>41</v>
      </c>
      <c r="L5" s="5" t="s">
        <v>41</v>
      </c>
      <c r="M5" s="5" t="s">
        <v>41</v>
      </c>
      <c r="N5" s="5" t="s">
        <v>41</v>
      </c>
      <c r="O5" s="5" t="s">
        <v>41</v>
      </c>
      <c r="P5" s="5" t="s">
        <v>42</v>
      </c>
      <c r="Q5" s="5" t="s">
        <v>41</v>
      </c>
      <c r="R5" s="5" t="s">
        <v>41</v>
      </c>
      <c r="S5" s="5" t="s">
        <v>41</v>
      </c>
      <c r="T5" s="5" t="s">
        <v>41</v>
      </c>
      <c r="U5" s="5" t="s">
        <v>41</v>
      </c>
      <c r="V5" s="5" t="s">
        <v>41</v>
      </c>
      <c r="W5" s="5" t="s">
        <v>42</v>
      </c>
      <c r="X5" s="5" t="s">
        <v>41</v>
      </c>
      <c r="Y5" s="5" t="s">
        <v>41</v>
      </c>
      <c r="Z5" s="5" t="s">
        <v>41</v>
      </c>
      <c r="AA5" s="5" t="s">
        <v>41</v>
      </c>
      <c r="AB5" s="7" t="s">
        <v>44</v>
      </c>
      <c r="AC5" s="5" t="s">
        <v>41</v>
      </c>
      <c r="AD5" s="5" t="s">
        <v>42</v>
      </c>
      <c r="AE5" s="5" t="s">
        <v>41</v>
      </c>
      <c r="AF5" s="5" t="s">
        <v>41</v>
      </c>
      <c r="AG5" s="5" t="s">
        <v>41</v>
      </c>
      <c r="AH5" s="5" t="n">
        <f aca="false">COUNTIF(D5:AG5,"P")</f>
        <v>24</v>
      </c>
      <c r="AI5" s="5" t="n">
        <f aca="false">COUNTIF(D5:AG5,"PL")+COUNTIF(D5:AG5,"SL")+COUNTIF(D5:AG5,"CL")</f>
        <v>1</v>
      </c>
      <c r="AJ5" s="5" t="n">
        <f aca="false">COUNTIF(D5:AG5,"LOP")</f>
        <v>0</v>
      </c>
    </row>
    <row r="6" customFormat="false" ht="15" hidden="false" customHeight="false" outlineLevel="0" collapsed="false">
      <c r="A6" s="8" t="s">
        <v>45</v>
      </c>
      <c r="B6" s="8" t="s">
        <v>46</v>
      </c>
      <c r="C6" s="8" t="s">
        <v>40</v>
      </c>
      <c r="D6" s="9" t="s">
        <v>41</v>
      </c>
      <c r="E6" s="9" t="s">
        <v>41</v>
      </c>
      <c r="F6" s="9" t="s">
        <v>41</v>
      </c>
      <c r="G6" s="9" t="s">
        <v>41</v>
      </c>
      <c r="H6" s="9" t="s">
        <v>41</v>
      </c>
      <c r="I6" s="9" t="s">
        <v>42</v>
      </c>
      <c r="J6" s="6" t="s">
        <v>43</v>
      </c>
      <c r="K6" s="9" t="s">
        <v>41</v>
      </c>
      <c r="L6" s="9" t="s">
        <v>41</v>
      </c>
      <c r="M6" s="9" t="s">
        <v>41</v>
      </c>
      <c r="N6" s="9" t="s">
        <v>41</v>
      </c>
      <c r="O6" s="9" t="s">
        <v>41</v>
      </c>
      <c r="P6" s="9" t="s">
        <v>42</v>
      </c>
      <c r="Q6" s="9" t="s">
        <v>41</v>
      </c>
      <c r="R6" s="9" t="s">
        <v>41</v>
      </c>
      <c r="S6" s="9" t="s">
        <v>41</v>
      </c>
      <c r="T6" s="9" t="s">
        <v>41</v>
      </c>
      <c r="U6" s="9" t="s">
        <v>41</v>
      </c>
      <c r="V6" s="9" t="s">
        <v>41</v>
      </c>
      <c r="W6" s="9" t="s">
        <v>42</v>
      </c>
      <c r="X6" s="9" t="s">
        <v>41</v>
      </c>
      <c r="Y6" s="9" t="s">
        <v>41</v>
      </c>
      <c r="Z6" s="9" t="s">
        <v>41</v>
      </c>
      <c r="AA6" s="9" t="s">
        <v>41</v>
      </c>
      <c r="AB6" s="9" t="s">
        <v>41</v>
      </c>
      <c r="AC6" s="9" t="s">
        <v>41</v>
      </c>
      <c r="AD6" s="9" t="s">
        <v>42</v>
      </c>
      <c r="AE6" s="9" t="s">
        <v>41</v>
      </c>
      <c r="AF6" s="9" t="s">
        <v>41</v>
      </c>
      <c r="AG6" s="9" t="s">
        <v>41</v>
      </c>
      <c r="AH6" s="9" t="n">
        <f aca="false">COUNTIF(D6:AG6,"P")</f>
        <v>25</v>
      </c>
      <c r="AI6" s="9" t="n">
        <f aca="false">COUNTIF(D6:AG6,"PL")+COUNTIF(D6:AG6,"SL")+COUNTIF(D6:AG6,"CL")</f>
        <v>0</v>
      </c>
      <c r="AJ6" s="9" t="n">
        <f aca="false">COUNTIF(D6:AG6,"LOP")</f>
        <v>0</v>
      </c>
    </row>
    <row r="7" customFormat="false" ht="15" hidden="false" customHeight="false" outlineLevel="0" collapsed="false">
      <c r="A7" s="4" t="s">
        <v>47</v>
      </c>
      <c r="B7" s="4" t="s">
        <v>48</v>
      </c>
      <c r="C7" s="4" t="s">
        <v>40</v>
      </c>
      <c r="D7" s="7" t="s">
        <v>49</v>
      </c>
      <c r="E7" s="5" t="s">
        <v>41</v>
      </c>
      <c r="F7" s="5" t="s">
        <v>41</v>
      </c>
      <c r="G7" s="5" t="s">
        <v>41</v>
      </c>
      <c r="H7" s="5" t="s">
        <v>41</v>
      </c>
      <c r="I7" s="5" t="s">
        <v>42</v>
      </c>
      <c r="J7" s="6" t="s">
        <v>43</v>
      </c>
      <c r="K7" s="5" t="s">
        <v>41</v>
      </c>
      <c r="L7" s="5" t="s">
        <v>41</v>
      </c>
      <c r="M7" s="5" t="s">
        <v>41</v>
      </c>
      <c r="N7" s="5" t="s">
        <v>41</v>
      </c>
      <c r="O7" s="5" t="s">
        <v>41</v>
      </c>
      <c r="P7" s="5" t="s">
        <v>42</v>
      </c>
      <c r="Q7" s="5" t="s">
        <v>41</v>
      </c>
      <c r="R7" s="5" t="s">
        <v>41</v>
      </c>
      <c r="S7" s="5" t="s">
        <v>41</v>
      </c>
      <c r="T7" s="5" t="s">
        <v>41</v>
      </c>
      <c r="U7" s="5" t="s">
        <v>41</v>
      </c>
      <c r="V7" s="5" t="s">
        <v>41</v>
      </c>
      <c r="W7" s="5" t="s">
        <v>42</v>
      </c>
      <c r="X7" s="5" t="s">
        <v>41</v>
      </c>
      <c r="Y7" s="5" t="s">
        <v>41</v>
      </c>
      <c r="Z7" s="5" t="s">
        <v>41</v>
      </c>
      <c r="AA7" s="5" t="s">
        <v>41</v>
      </c>
      <c r="AB7" s="5" t="s">
        <v>41</v>
      </c>
      <c r="AC7" s="5" t="s">
        <v>41</v>
      </c>
      <c r="AD7" s="5" t="s">
        <v>42</v>
      </c>
      <c r="AE7" s="5" t="s">
        <v>41</v>
      </c>
      <c r="AF7" s="7" t="s">
        <v>50</v>
      </c>
      <c r="AG7" s="5" t="s">
        <v>41</v>
      </c>
      <c r="AH7" s="5" t="n">
        <f aca="false">COUNTIF(D7:AG7,"P")</f>
        <v>23</v>
      </c>
      <c r="AI7" s="5" t="n">
        <f aca="false">COUNTIF(D7:AG7,"PL")+COUNTIF(D7:AG7,"SL")+COUNTIF(D7:AG7,"CL")</f>
        <v>2</v>
      </c>
      <c r="AJ7" s="5" t="n">
        <f aca="false">COUNTIF(D7:AG7,"LOP")</f>
        <v>0</v>
      </c>
    </row>
    <row r="8" customFormat="false" ht="15" hidden="false" customHeight="false" outlineLevel="0" collapsed="false">
      <c r="A8" s="8" t="s">
        <v>51</v>
      </c>
      <c r="B8" s="8" t="s">
        <v>52</v>
      </c>
      <c r="C8" s="8" t="s">
        <v>40</v>
      </c>
      <c r="D8" s="9" t="s">
        <v>41</v>
      </c>
      <c r="E8" s="9" t="s">
        <v>41</v>
      </c>
      <c r="F8" s="9" t="s">
        <v>41</v>
      </c>
      <c r="G8" s="9" t="s">
        <v>41</v>
      </c>
      <c r="H8" s="9" t="s">
        <v>41</v>
      </c>
      <c r="I8" s="9" t="s">
        <v>42</v>
      </c>
      <c r="J8" s="6" t="s">
        <v>43</v>
      </c>
      <c r="K8" s="9" t="s">
        <v>41</v>
      </c>
      <c r="L8" s="9" t="s">
        <v>41</v>
      </c>
      <c r="M8" s="9" t="s">
        <v>41</v>
      </c>
      <c r="N8" s="9" t="s">
        <v>41</v>
      </c>
      <c r="O8" s="9" t="s">
        <v>41</v>
      </c>
      <c r="P8" s="9" t="s">
        <v>42</v>
      </c>
      <c r="Q8" s="9" t="s">
        <v>41</v>
      </c>
      <c r="R8" s="9" t="s">
        <v>41</v>
      </c>
      <c r="S8" s="9" t="s">
        <v>41</v>
      </c>
      <c r="T8" s="9" t="s">
        <v>41</v>
      </c>
      <c r="U8" s="9" t="s">
        <v>41</v>
      </c>
      <c r="V8" s="9" t="s">
        <v>41</v>
      </c>
      <c r="W8" s="9" t="s">
        <v>42</v>
      </c>
      <c r="X8" s="9" t="s">
        <v>41</v>
      </c>
      <c r="Y8" s="9" t="s">
        <v>41</v>
      </c>
      <c r="Z8" s="9" t="s">
        <v>41</v>
      </c>
      <c r="AA8" s="9" t="s">
        <v>41</v>
      </c>
      <c r="AB8" s="9" t="s">
        <v>41</v>
      </c>
      <c r="AC8" s="9" t="s">
        <v>41</v>
      </c>
      <c r="AD8" s="9" t="s">
        <v>42</v>
      </c>
      <c r="AE8" s="9" t="s">
        <v>41</v>
      </c>
      <c r="AF8" s="9" t="s">
        <v>41</v>
      </c>
      <c r="AG8" s="9" t="s">
        <v>41</v>
      </c>
      <c r="AH8" s="9" t="n">
        <f aca="false">COUNTIF(D8:AG8,"P")</f>
        <v>25</v>
      </c>
      <c r="AI8" s="9" t="n">
        <f aca="false">COUNTIF(D8:AG8,"PL")+COUNTIF(D8:AG8,"SL")+COUNTIF(D8:AG8,"CL")</f>
        <v>0</v>
      </c>
      <c r="AJ8" s="9" t="n">
        <f aca="false">COUNTIF(D8:AG8,"LOP")</f>
        <v>0</v>
      </c>
    </row>
    <row r="9" customFormat="false" ht="15" hidden="false" customHeight="false" outlineLevel="0" collapsed="false">
      <c r="A9" s="4" t="s">
        <v>53</v>
      </c>
      <c r="B9" s="4" t="s">
        <v>54</v>
      </c>
      <c r="C9" s="4" t="s">
        <v>55</v>
      </c>
      <c r="D9" s="5" t="s">
        <v>41</v>
      </c>
      <c r="E9" s="5" t="s">
        <v>41</v>
      </c>
      <c r="F9" s="5" t="s">
        <v>41</v>
      </c>
      <c r="G9" s="5" t="s">
        <v>41</v>
      </c>
      <c r="H9" s="5" t="s">
        <v>41</v>
      </c>
      <c r="I9" s="5" t="s">
        <v>42</v>
      </c>
      <c r="J9" s="6" t="s">
        <v>43</v>
      </c>
      <c r="K9" s="5" t="s">
        <v>41</v>
      </c>
      <c r="L9" s="5" t="s">
        <v>41</v>
      </c>
      <c r="M9" s="5" t="s">
        <v>41</v>
      </c>
      <c r="N9" s="5" t="s">
        <v>41</v>
      </c>
      <c r="O9" s="5" t="s">
        <v>41</v>
      </c>
      <c r="P9" s="5" t="s">
        <v>42</v>
      </c>
      <c r="Q9" s="5" t="s">
        <v>41</v>
      </c>
      <c r="R9" s="5" t="s">
        <v>41</v>
      </c>
      <c r="S9" s="5" t="s">
        <v>41</v>
      </c>
      <c r="T9" s="5" t="s">
        <v>41</v>
      </c>
      <c r="U9" s="5" t="s">
        <v>41</v>
      </c>
      <c r="V9" s="5" t="s">
        <v>41</v>
      </c>
      <c r="W9" s="5" t="s">
        <v>42</v>
      </c>
      <c r="X9" s="5" t="s">
        <v>41</v>
      </c>
      <c r="Y9" s="5" t="s">
        <v>41</v>
      </c>
      <c r="Z9" s="5" t="s">
        <v>41</v>
      </c>
      <c r="AA9" s="5" t="s">
        <v>41</v>
      </c>
      <c r="AB9" s="5" t="s">
        <v>41</v>
      </c>
      <c r="AC9" s="5" t="s">
        <v>41</v>
      </c>
      <c r="AD9" s="5" t="s">
        <v>42</v>
      </c>
      <c r="AE9" s="5" t="s">
        <v>41</v>
      </c>
      <c r="AF9" s="5" t="s">
        <v>41</v>
      </c>
      <c r="AG9" s="5" t="s">
        <v>41</v>
      </c>
      <c r="AH9" s="5" t="n">
        <f aca="false">COUNTIF(D9:AG9,"P")</f>
        <v>25</v>
      </c>
      <c r="AI9" s="5" t="n">
        <f aca="false">COUNTIF(D9:AG9,"PL")+COUNTIF(D9:AG9,"SL")+COUNTIF(D9:AG9,"CL")</f>
        <v>0</v>
      </c>
      <c r="AJ9" s="5" t="n">
        <f aca="false">COUNTIF(D9:AG9,"LOP")</f>
        <v>0</v>
      </c>
    </row>
    <row r="10" customFormat="false" ht="15" hidden="false" customHeight="false" outlineLevel="0" collapsed="false">
      <c r="A10" s="8" t="s">
        <v>56</v>
      </c>
      <c r="B10" s="8" t="s">
        <v>57</v>
      </c>
      <c r="C10" s="8" t="s">
        <v>58</v>
      </c>
      <c r="D10" s="9" t="s">
        <v>41</v>
      </c>
      <c r="E10" s="9" t="s">
        <v>41</v>
      </c>
      <c r="F10" s="9" t="s">
        <v>41</v>
      </c>
      <c r="G10" s="9" t="s">
        <v>41</v>
      </c>
      <c r="H10" s="9" t="s">
        <v>41</v>
      </c>
      <c r="I10" s="9" t="s">
        <v>42</v>
      </c>
      <c r="J10" s="6" t="s">
        <v>43</v>
      </c>
      <c r="K10" s="9" t="s">
        <v>41</v>
      </c>
      <c r="L10" s="9" t="s">
        <v>41</v>
      </c>
      <c r="M10" s="9" t="s">
        <v>41</v>
      </c>
      <c r="N10" s="9" t="s">
        <v>41</v>
      </c>
      <c r="O10" s="9" t="s">
        <v>41</v>
      </c>
      <c r="P10" s="9" t="s">
        <v>42</v>
      </c>
      <c r="Q10" s="9" t="s">
        <v>41</v>
      </c>
      <c r="R10" s="9" t="s">
        <v>41</v>
      </c>
      <c r="S10" s="9" t="s">
        <v>41</v>
      </c>
      <c r="T10" s="9" t="s">
        <v>41</v>
      </c>
      <c r="U10" s="9" t="s">
        <v>41</v>
      </c>
      <c r="V10" s="9" t="s">
        <v>41</v>
      </c>
      <c r="W10" s="9" t="s">
        <v>42</v>
      </c>
      <c r="X10" s="9" t="s">
        <v>41</v>
      </c>
      <c r="Y10" s="9" t="s">
        <v>41</v>
      </c>
      <c r="Z10" s="7" t="s">
        <v>50</v>
      </c>
      <c r="AA10" s="9" t="s">
        <v>41</v>
      </c>
      <c r="AB10" s="9" t="s">
        <v>41</v>
      </c>
      <c r="AC10" s="9" t="s">
        <v>41</v>
      </c>
      <c r="AD10" s="9" t="s">
        <v>42</v>
      </c>
      <c r="AE10" s="9" t="s">
        <v>41</v>
      </c>
      <c r="AF10" s="9" t="s">
        <v>41</v>
      </c>
      <c r="AG10" s="9" t="s">
        <v>41</v>
      </c>
      <c r="AH10" s="9" t="n">
        <f aca="false">COUNTIF(D10:AG10,"P")</f>
        <v>24</v>
      </c>
      <c r="AI10" s="9" t="n">
        <f aca="false">COUNTIF(D10:AG10,"PL")+COUNTIF(D10:AG10,"SL")+COUNTIF(D10:AG10,"CL")</f>
        <v>1</v>
      </c>
      <c r="AJ10" s="9" t="n">
        <f aca="false">COUNTIF(D10:AG10,"LOP")</f>
        <v>0</v>
      </c>
    </row>
    <row r="11" customFormat="false" ht="15" hidden="false" customHeight="false" outlineLevel="0" collapsed="false">
      <c r="A11" s="4" t="s">
        <v>59</v>
      </c>
      <c r="B11" s="4" t="s">
        <v>60</v>
      </c>
      <c r="C11" s="4" t="s">
        <v>61</v>
      </c>
      <c r="D11" s="5" t="s">
        <v>41</v>
      </c>
      <c r="E11" s="5" t="s">
        <v>41</v>
      </c>
      <c r="F11" s="5" t="s">
        <v>41</v>
      </c>
      <c r="G11" s="5" t="s">
        <v>41</v>
      </c>
      <c r="H11" s="5" t="s">
        <v>41</v>
      </c>
      <c r="I11" s="5" t="s">
        <v>42</v>
      </c>
      <c r="J11" s="6" t="s">
        <v>43</v>
      </c>
      <c r="K11" s="5" t="s">
        <v>41</v>
      </c>
      <c r="L11" s="5" t="s">
        <v>41</v>
      </c>
      <c r="M11" s="5" t="s">
        <v>41</v>
      </c>
      <c r="N11" s="5" t="s">
        <v>41</v>
      </c>
      <c r="O11" s="7" t="s">
        <v>44</v>
      </c>
      <c r="P11" s="5" t="s">
        <v>42</v>
      </c>
      <c r="Q11" s="5" t="s">
        <v>41</v>
      </c>
      <c r="R11" s="5" t="s">
        <v>41</v>
      </c>
      <c r="S11" s="5" t="s">
        <v>41</v>
      </c>
      <c r="T11" s="5" t="s">
        <v>41</v>
      </c>
      <c r="U11" s="5" t="s">
        <v>41</v>
      </c>
      <c r="V11" s="5" t="s">
        <v>41</v>
      </c>
      <c r="W11" s="5" t="s">
        <v>42</v>
      </c>
      <c r="X11" s="5" t="s">
        <v>41</v>
      </c>
      <c r="Y11" s="5" t="s">
        <v>41</v>
      </c>
      <c r="Z11" s="5" t="s">
        <v>41</v>
      </c>
      <c r="AA11" s="5" t="s">
        <v>41</v>
      </c>
      <c r="AB11" s="5" t="s">
        <v>41</v>
      </c>
      <c r="AC11" s="7" t="s">
        <v>49</v>
      </c>
      <c r="AD11" s="5" t="s">
        <v>42</v>
      </c>
      <c r="AE11" s="5" t="s">
        <v>41</v>
      </c>
      <c r="AF11" s="5" t="s">
        <v>41</v>
      </c>
      <c r="AG11" s="5" t="s">
        <v>41</v>
      </c>
      <c r="AH11" s="5" t="n">
        <f aca="false">COUNTIF(D11:AG11,"P")</f>
        <v>23</v>
      </c>
      <c r="AI11" s="5" t="n">
        <f aca="false">COUNTIF(D11:AG11,"PL")+COUNTIF(D11:AG11,"SL")+COUNTIF(D11:AG11,"CL")</f>
        <v>2</v>
      </c>
      <c r="AJ11" s="5" t="n">
        <f aca="false">COUNTIF(D11:AG11,"LOP")</f>
        <v>0</v>
      </c>
    </row>
    <row r="12" customFormat="false" ht="15" hidden="false" customHeight="false" outlineLevel="0" collapsed="false">
      <c r="A12" s="8" t="s">
        <v>62</v>
      </c>
      <c r="B12" s="8" t="s">
        <v>63</v>
      </c>
      <c r="C12" s="8" t="s">
        <v>55</v>
      </c>
      <c r="D12" s="9" t="s">
        <v>41</v>
      </c>
      <c r="E12" s="9" t="s">
        <v>41</v>
      </c>
      <c r="F12" s="9" t="s">
        <v>41</v>
      </c>
      <c r="G12" s="9" t="s">
        <v>41</v>
      </c>
      <c r="H12" s="9" t="s">
        <v>41</v>
      </c>
      <c r="I12" s="9" t="s">
        <v>42</v>
      </c>
      <c r="J12" s="6" t="s">
        <v>43</v>
      </c>
      <c r="K12" s="9" t="s">
        <v>41</v>
      </c>
      <c r="L12" s="9" t="s">
        <v>41</v>
      </c>
      <c r="M12" s="9" t="s">
        <v>41</v>
      </c>
      <c r="N12" s="9" t="s">
        <v>41</v>
      </c>
      <c r="O12" s="9" t="s">
        <v>41</v>
      </c>
      <c r="P12" s="9" t="s">
        <v>42</v>
      </c>
      <c r="Q12" s="9" t="s">
        <v>41</v>
      </c>
      <c r="R12" s="9" t="s">
        <v>41</v>
      </c>
      <c r="S12" s="7" t="s">
        <v>49</v>
      </c>
      <c r="T12" s="9" t="s">
        <v>41</v>
      </c>
      <c r="U12" s="9" t="s">
        <v>41</v>
      </c>
      <c r="V12" s="9" t="s">
        <v>41</v>
      </c>
      <c r="W12" s="9" t="s">
        <v>42</v>
      </c>
      <c r="X12" s="9" t="s">
        <v>41</v>
      </c>
      <c r="Y12" s="9" t="s">
        <v>41</v>
      </c>
      <c r="Z12" s="9" t="s">
        <v>41</v>
      </c>
      <c r="AA12" s="9" t="s">
        <v>41</v>
      </c>
      <c r="AB12" s="9" t="s">
        <v>41</v>
      </c>
      <c r="AC12" s="9" t="s">
        <v>41</v>
      </c>
      <c r="AD12" s="9" t="s">
        <v>42</v>
      </c>
      <c r="AE12" s="9" t="s">
        <v>41</v>
      </c>
      <c r="AF12" s="9" t="s">
        <v>41</v>
      </c>
      <c r="AG12" s="9" t="s">
        <v>41</v>
      </c>
      <c r="AH12" s="9" t="n">
        <f aca="false">COUNTIF(D12:AG12,"P")</f>
        <v>24</v>
      </c>
      <c r="AI12" s="9" t="n">
        <f aca="false">COUNTIF(D12:AG12,"PL")+COUNTIF(D12:AG12,"SL")+COUNTIF(D12:AG12,"CL")</f>
        <v>1</v>
      </c>
      <c r="AJ12" s="9" t="n">
        <f aca="false">COUNTIF(D12:AG12,"LOP")</f>
        <v>0</v>
      </c>
    </row>
    <row r="13" customFormat="false" ht="15" hidden="false" customHeight="false" outlineLevel="0" collapsed="false">
      <c r="A13" s="4" t="s">
        <v>64</v>
      </c>
      <c r="B13" s="4" t="s">
        <v>65</v>
      </c>
      <c r="C13" s="4" t="s">
        <v>66</v>
      </c>
      <c r="D13" s="5" t="s">
        <v>41</v>
      </c>
      <c r="E13" s="5" t="s">
        <v>41</v>
      </c>
      <c r="F13" s="5" t="s">
        <v>41</v>
      </c>
      <c r="G13" s="5" t="s">
        <v>41</v>
      </c>
      <c r="H13" s="5" t="s">
        <v>41</v>
      </c>
      <c r="I13" s="5" t="s">
        <v>42</v>
      </c>
      <c r="J13" s="6" t="s">
        <v>43</v>
      </c>
      <c r="K13" s="5" t="s">
        <v>41</v>
      </c>
      <c r="L13" s="5" t="s">
        <v>41</v>
      </c>
      <c r="M13" s="5" t="s">
        <v>41</v>
      </c>
      <c r="N13" s="5" t="s">
        <v>41</v>
      </c>
      <c r="O13" s="5" t="s">
        <v>41</v>
      </c>
      <c r="P13" s="5" t="s">
        <v>42</v>
      </c>
      <c r="Q13" s="7" t="s">
        <v>44</v>
      </c>
      <c r="R13" s="5" t="s">
        <v>41</v>
      </c>
      <c r="S13" s="5" t="s">
        <v>41</v>
      </c>
      <c r="T13" s="5" t="s">
        <v>41</v>
      </c>
      <c r="U13" s="5" t="s">
        <v>41</v>
      </c>
      <c r="V13" s="5" t="s">
        <v>41</v>
      </c>
      <c r="W13" s="5" t="s">
        <v>42</v>
      </c>
      <c r="X13" s="5" t="s">
        <v>41</v>
      </c>
      <c r="Y13" s="5" t="s">
        <v>41</v>
      </c>
      <c r="Z13" s="5" t="s">
        <v>41</v>
      </c>
      <c r="AA13" s="5" t="s">
        <v>41</v>
      </c>
      <c r="AB13" s="5" t="s">
        <v>41</v>
      </c>
      <c r="AC13" s="5" t="s">
        <v>41</v>
      </c>
      <c r="AD13" s="5" t="s">
        <v>42</v>
      </c>
      <c r="AE13" s="7" t="s">
        <v>49</v>
      </c>
      <c r="AF13" s="5" t="s">
        <v>41</v>
      </c>
      <c r="AG13" s="5" t="s">
        <v>41</v>
      </c>
      <c r="AH13" s="5" t="n">
        <f aca="false">COUNTIF(D13:AG13,"P")</f>
        <v>23</v>
      </c>
      <c r="AI13" s="5" t="n">
        <f aca="false">COUNTIF(D13:AG13,"PL")+COUNTIF(D13:AG13,"SL")+COUNTIF(D13:AG13,"CL")</f>
        <v>2</v>
      </c>
      <c r="AJ13" s="5" t="n">
        <f aca="false">COUNTIF(D13:AG13,"LOP")</f>
        <v>0</v>
      </c>
    </row>
    <row r="14" customFormat="false" ht="15" hidden="false" customHeight="false" outlineLevel="0" collapsed="false">
      <c r="A14" s="8" t="s">
        <v>67</v>
      </c>
      <c r="B14" s="8" t="s">
        <v>68</v>
      </c>
      <c r="C14" s="8" t="s">
        <v>66</v>
      </c>
      <c r="D14" s="9" t="s">
        <v>41</v>
      </c>
      <c r="E14" s="9" t="s">
        <v>41</v>
      </c>
      <c r="F14" s="9" t="s">
        <v>41</v>
      </c>
      <c r="G14" s="7" t="s">
        <v>44</v>
      </c>
      <c r="H14" s="9" t="s">
        <v>41</v>
      </c>
      <c r="I14" s="9" t="s">
        <v>42</v>
      </c>
      <c r="J14" s="6" t="s">
        <v>43</v>
      </c>
      <c r="K14" s="9" t="s">
        <v>41</v>
      </c>
      <c r="L14" s="9" t="s">
        <v>41</v>
      </c>
      <c r="M14" s="9" t="s">
        <v>41</v>
      </c>
      <c r="N14" s="9" t="s">
        <v>41</v>
      </c>
      <c r="O14" s="9" t="s">
        <v>41</v>
      </c>
      <c r="P14" s="9" t="s">
        <v>42</v>
      </c>
      <c r="Q14" s="9" t="s">
        <v>41</v>
      </c>
      <c r="R14" s="9" t="s">
        <v>41</v>
      </c>
      <c r="S14" s="9" t="s">
        <v>41</v>
      </c>
      <c r="T14" s="9" t="s">
        <v>41</v>
      </c>
      <c r="U14" s="9" t="s">
        <v>41</v>
      </c>
      <c r="V14" s="9" t="s">
        <v>41</v>
      </c>
      <c r="W14" s="9" t="s">
        <v>42</v>
      </c>
      <c r="X14" s="9" t="s">
        <v>41</v>
      </c>
      <c r="Y14" s="9" t="s">
        <v>41</v>
      </c>
      <c r="Z14" s="9" t="s">
        <v>41</v>
      </c>
      <c r="AA14" s="9" t="s">
        <v>41</v>
      </c>
      <c r="AB14" s="9" t="s">
        <v>41</v>
      </c>
      <c r="AC14" s="9" t="s">
        <v>41</v>
      </c>
      <c r="AD14" s="9" t="s">
        <v>42</v>
      </c>
      <c r="AE14" s="9" t="s">
        <v>41</v>
      </c>
      <c r="AF14" s="9" t="s">
        <v>41</v>
      </c>
      <c r="AG14" s="9" t="s">
        <v>41</v>
      </c>
      <c r="AH14" s="9" t="n">
        <f aca="false">COUNTIF(D14:AG14,"P")</f>
        <v>24</v>
      </c>
      <c r="AI14" s="9" t="n">
        <f aca="false">COUNTIF(D14:AG14,"PL")+COUNTIF(D14:AG14,"SL")+COUNTIF(D14:AG14,"CL")</f>
        <v>1</v>
      </c>
      <c r="AJ14" s="9" t="n">
        <f aca="false">COUNTIF(D14:AG14,"LOP")</f>
        <v>0</v>
      </c>
    </row>
    <row r="15" customFormat="false" ht="15" hidden="false" customHeight="false" outlineLevel="0" collapsed="false">
      <c r="A15" s="4" t="s">
        <v>69</v>
      </c>
      <c r="B15" s="4" t="s">
        <v>70</v>
      </c>
      <c r="C15" s="4" t="s">
        <v>71</v>
      </c>
      <c r="D15" s="5" t="s">
        <v>41</v>
      </c>
      <c r="E15" s="5" t="s">
        <v>41</v>
      </c>
      <c r="F15" s="5" t="s">
        <v>41</v>
      </c>
      <c r="G15" s="5" t="s">
        <v>41</v>
      </c>
      <c r="H15" s="5" t="s">
        <v>41</v>
      </c>
      <c r="I15" s="5" t="s">
        <v>42</v>
      </c>
      <c r="J15" s="6" t="s">
        <v>43</v>
      </c>
      <c r="K15" s="5" t="s">
        <v>41</v>
      </c>
      <c r="L15" s="5" t="s">
        <v>41</v>
      </c>
      <c r="M15" s="5" t="s">
        <v>41</v>
      </c>
      <c r="N15" s="5" t="s">
        <v>41</v>
      </c>
      <c r="O15" s="5" t="s">
        <v>41</v>
      </c>
      <c r="P15" s="5" t="s">
        <v>42</v>
      </c>
      <c r="Q15" s="5" t="s">
        <v>41</v>
      </c>
      <c r="R15" s="5" t="s">
        <v>41</v>
      </c>
      <c r="S15" s="5" t="s">
        <v>41</v>
      </c>
      <c r="T15" s="5" t="s">
        <v>41</v>
      </c>
      <c r="U15" s="5" t="s">
        <v>41</v>
      </c>
      <c r="V15" s="5" t="s">
        <v>41</v>
      </c>
      <c r="W15" s="5" t="s">
        <v>42</v>
      </c>
      <c r="X15" s="5" t="s">
        <v>41</v>
      </c>
      <c r="Y15" s="5" t="s">
        <v>41</v>
      </c>
      <c r="Z15" s="5" t="s">
        <v>41</v>
      </c>
      <c r="AA15" s="5" t="s">
        <v>41</v>
      </c>
      <c r="AB15" s="5" t="s">
        <v>41</v>
      </c>
      <c r="AC15" s="5" t="s">
        <v>41</v>
      </c>
      <c r="AD15" s="5" t="s">
        <v>42</v>
      </c>
      <c r="AE15" s="5" t="s">
        <v>41</v>
      </c>
      <c r="AF15" s="5" t="s">
        <v>41</v>
      </c>
      <c r="AG15" s="5" t="s">
        <v>41</v>
      </c>
      <c r="AH15" s="5" t="n">
        <f aca="false">COUNTIF(D15:AG15,"P")</f>
        <v>25</v>
      </c>
      <c r="AI15" s="5" t="n">
        <f aca="false">COUNTIF(D15:AG15,"PL")+COUNTIF(D15:AG15,"SL")+COUNTIF(D15:AG15,"CL")</f>
        <v>0</v>
      </c>
      <c r="AJ15" s="5" t="n">
        <f aca="false">COUNTIF(D15:AG15,"LOP")</f>
        <v>0</v>
      </c>
    </row>
    <row r="16" customFormat="false" ht="15" hidden="false" customHeight="false" outlineLevel="0" collapsed="false">
      <c r="A16" s="8" t="s">
        <v>72</v>
      </c>
      <c r="B16" s="8" t="s">
        <v>73</v>
      </c>
      <c r="C16" s="8" t="s">
        <v>58</v>
      </c>
      <c r="D16" s="9" t="s">
        <v>41</v>
      </c>
      <c r="E16" s="9" t="s">
        <v>41</v>
      </c>
      <c r="F16" s="9" t="s">
        <v>41</v>
      </c>
      <c r="G16" s="9" t="s">
        <v>41</v>
      </c>
      <c r="H16" s="9" t="s">
        <v>41</v>
      </c>
      <c r="I16" s="9" t="s">
        <v>42</v>
      </c>
      <c r="J16" s="6" t="s">
        <v>43</v>
      </c>
      <c r="K16" s="9" t="s">
        <v>41</v>
      </c>
      <c r="L16" s="9" t="s">
        <v>41</v>
      </c>
      <c r="M16" s="9" t="s">
        <v>41</v>
      </c>
      <c r="N16" s="9" t="s">
        <v>41</v>
      </c>
      <c r="O16" s="9" t="s">
        <v>41</v>
      </c>
      <c r="P16" s="9" t="s">
        <v>42</v>
      </c>
      <c r="Q16" s="9" t="s">
        <v>41</v>
      </c>
      <c r="R16" s="9" t="s">
        <v>41</v>
      </c>
      <c r="S16" s="9" t="s">
        <v>41</v>
      </c>
      <c r="T16" s="9" t="s">
        <v>41</v>
      </c>
      <c r="U16" s="9" t="s">
        <v>41</v>
      </c>
      <c r="V16" s="9" t="s">
        <v>41</v>
      </c>
      <c r="W16" s="9" t="s">
        <v>42</v>
      </c>
      <c r="X16" s="9" t="s">
        <v>41</v>
      </c>
      <c r="Y16" s="9" t="s">
        <v>41</v>
      </c>
      <c r="Z16" s="9" t="s">
        <v>41</v>
      </c>
      <c r="AA16" s="9" t="s">
        <v>41</v>
      </c>
      <c r="AB16" s="9" t="s">
        <v>41</v>
      </c>
      <c r="AC16" s="9" t="s">
        <v>41</v>
      </c>
      <c r="AD16" s="9" t="s">
        <v>42</v>
      </c>
      <c r="AE16" s="9" t="s">
        <v>41</v>
      </c>
      <c r="AF16" s="9" t="s">
        <v>41</v>
      </c>
      <c r="AG16" s="9" t="s">
        <v>41</v>
      </c>
      <c r="AH16" s="9" t="n">
        <f aca="false">COUNTIF(D16:AG16,"P")</f>
        <v>25</v>
      </c>
      <c r="AI16" s="9" t="n">
        <f aca="false">COUNTIF(D16:AG16,"PL")+COUNTIF(D16:AG16,"SL")+COUNTIF(D16:AG16,"CL")</f>
        <v>0</v>
      </c>
      <c r="AJ16" s="9" t="n">
        <f aca="false">COUNTIF(D16:AG16,"LOP")</f>
        <v>0</v>
      </c>
    </row>
    <row r="17" customFormat="false" ht="15" hidden="false" customHeight="false" outlineLevel="0" collapsed="false">
      <c r="A17" s="4" t="s">
        <v>74</v>
      </c>
      <c r="B17" s="4" t="s">
        <v>75</v>
      </c>
      <c r="C17" s="4" t="s">
        <v>61</v>
      </c>
      <c r="D17" s="5" t="s">
        <v>41</v>
      </c>
      <c r="E17" s="5" t="s">
        <v>41</v>
      </c>
      <c r="F17" s="5" t="s">
        <v>41</v>
      </c>
      <c r="G17" s="5" t="s">
        <v>41</v>
      </c>
      <c r="H17" s="5" t="s">
        <v>41</v>
      </c>
      <c r="I17" s="5" t="s">
        <v>42</v>
      </c>
      <c r="J17" s="6" t="s">
        <v>43</v>
      </c>
      <c r="K17" s="5" t="s">
        <v>41</v>
      </c>
      <c r="L17" s="5" t="s">
        <v>41</v>
      </c>
      <c r="M17" s="5" t="s">
        <v>41</v>
      </c>
      <c r="N17" s="5" t="s">
        <v>41</v>
      </c>
      <c r="O17" s="5" t="s">
        <v>41</v>
      </c>
      <c r="P17" s="5" t="s">
        <v>42</v>
      </c>
      <c r="Q17" s="7" t="s">
        <v>50</v>
      </c>
      <c r="R17" s="5" t="s">
        <v>41</v>
      </c>
      <c r="S17" s="5" t="s">
        <v>41</v>
      </c>
      <c r="T17" s="5" t="s">
        <v>41</v>
      </c>
      <c r="U17" s="5" t="s">
        <v>41</v>
      </c>
      <c r="V17" s="5" t="s">
        <v>41</v>
      </c>
      <c r="W17" s="5" t="s">
        <v>42</v>
      </c>
      <c r="X17" s="5" t="s">
        <v>41</v>
      </c>
      <c r="Y17" s="5" t="s">
        <v>41</v>
      </c>
      <c r="Z17" s="5" t="s">
        <v>41</v>
      </c>
      <c r="AA17" s="5" t="s">
        <v>41</v>
      </c>
      <c r="AB17" s="5" t="s">
        <v>41</v>
      </c>
      <c r="AC17" s="5" t="s">
        <v>41</v>
      </c>
      <c r="AD17" s="5" t="s">
        <v>42</v>
      </c>
      <c r="AE17" s="5" t="s">
        <v>41</v>
      </c>
      <c r="AF17" s="5" t="s">
        <v>41</v>
      </c>
      <c r="AG17" s="5" t="s">
        <v>41</v>
      </c>
      <c r="AH17" s="5" t="n">
        <f aca="false">COUNTIF(D17:AG17,"P")</f>
        <v>24</v>
      </c>
      <c r="AI17" s="5" t="n">
        <f aca="false">COUNTIF(D17:AG17,"PL")+COUNTIF(D17:AG17,"SL")+COUNTIF(D17:AG17,"CL")</f>
        <v>1</v>
      </c>
      <c r="AJ17" s="5" t="n">
        <f aca="false">COUNTIF(D17:AG17,"LOP")</f>
        <v>0</v>
      </c>
    </row>
    <row r="18" customFormat="false" ht="15" hidden="false" customHeight="false" outlineLevel="0" collapsed="false">
      <c r="A18" s="8" t="s">
        <v>76</v>
      </c>
      <c r="B18" s="8" t="s">
        <v>77</v>
      </c>
      <c r="C18" s="8" t="s">
        <v>78</v>
      </c>
      <c r="D18" s="9" t="s">
        <v>41</v>
      </c>
      <c r="E18" s="9" t="s">
        <v>41</v>
      </c>
      <c r="F18" s="7" t="s">
        <v>49</v>
      </c>
      <c r="G18" s="9" t="s">
        <v>41</v>
      </c>
      <c r="H18" s="7" t="s">
        <v>44</v>
      </c>
      <c r="I18" s="9" t="s">
        <v>42</v>
      </c>
      <c r="J18" s="6" t="s">
        <v>43</v>
      </c>
      <c r="K18" s="9" t="s">
        <v>41</v>
      </c>
      <c r="L18" s="9" t="s">
        <v>41</v>
      </c>
      <c r="M18" s="9" t="s">
        <v>41</v>
      </c>
      <c r="N18" s="9" t="s">
        <v>41</v>
      </c>
      <c r="O18" s="9" t="s">
        <v>41</v>
      </c>
      <c r="P18" s="9" t="s">
        <v>42</v>
      </c>
      <c r="Q18" s="9" t="s">
        <v>41</v>
      </c>
      <c r="R18" s="9" t="s">
        <v>41</v>
      </c>
      <c r="S18" s="9" t="s">
        <v>41</v>
      </c>
      <c r="T18" s="9" t="s">
        <v>41</v>
      </c>
      <c r="U18" s="9" t="s">
        <v>41</v>
      </c>
      <c r="V18" s="9" t="s">
        <v>41</v>
      </c>
      <c r="W18" s="9" t="s">
        <v>42</v>
      </c>
      <c r="X18" s="9" t="s">
        <v>41</v>
      </c>
      <c r="Y18" s="9" t="s">
        <v>41</v>
      </c>
      <c r="Z18" s="9" t="s">
        <v>41</v>
      </c>
      <c r="AA18" s="9" t="s">
        <v>41</v>
      </c>
      <c r="AB18" s="9" t="s">
        <v>41</v>
      </c>
      <c r="AC18" s="9" t="s">
        <v>41</v>
      </c>
      <c r="AD18" s="9" t="s">
        <v>42</v>
      </c>
      <c r="AE18" s="9" t="s">
        <v>41</v>
      </c>
      <c r="AF18" s="9" t="s">
        <v>41</v>
      </c>
      <c r="AG18" s="9" t="s">
        <v>41</v>
      </c>
      <c r="AH18" s="9" t="n">
        <f aca="false">COUNTIF(D18:AG18,"P")</f>
        <v>23</v>
      </c>
      <c r="AI18" s="9" t="n">
        <f aca="false">COUNTIF(D18:AG18,"PL")+COUNTIF(D18:AG18,"SL")+COUNTIF(D18:AG18,"CL")</f>
        <v>2</v>
      </c>
      <c r="AJ18" s="9" t="n">
        <f aca="false">COUNTIF(D18:AG18,"LOP")</f>
        <v>0</v>
      </c>
    </row>
    <row r="19" customFormat="false" ht="15" hidden="false" customHeight="false" outlineLevel="0" collapsed="false">
      <c r="A19" s="4" t="s">
        <v>79</v>
      </c>
      <c r="B19" s="4" t="s">
        <v>80</v>
      </c>
      <c r="C19" s="4" t="s">
        <v>81</v>
      </c>
      <c r="D19" s="5" t="s">
        <v>41</v>
      </c>
      <c r="E19" s="5" t="s">
        <v>41</v>
      </c>
      <c r="F19" s="5" t="s">
        <v>41</v>
      </c>
      <c r="G19" s="5" t="s">
        <v>41</v>
      </c>
      <c r="H19" s="5" t="s">
        <v>41</v>
      </c>
      <c r="I19" s="5" t="s">
        <v>42</v>
      </c>
      <c r="J19" s="6" t="s">
        <v>43</v>
      </c>
      <c r="K19" s="5" t="s">
        <v>41</v>
      </c>
      <c r="L19" s="5" t="s">
        <v>41</v>
      </c>
      <c r="M19" s="5" t="s">
        <v>41</v>
      </c>
      <c r="N19" s="5" t="s">
        <v>41</v>
      </c>
      <c r="O19" s="5" t="s">
        <v>41</v>
      </c>
      <c r="P19" s="5" t="s">
        <v>42</v>
      </c>
      <c r="Q19" s="5" t="s">
        <v>41</v>
      </c>
      <c r="R19" s="5" t="s">
        <v>41</v>
      </c>
      <c r="S19" s="5" t="s">
        <v>41</v>
      </c>
      <c r="T19" s="5" t="s">
        <v>41</v>
      </c>
      <c r="U19" s="5" t="s">
        <v>41</v>
      </c>
      <c r="V19" s="5" t="s">
        <v>41</v>
      </c>
      <c r="W19" s="5" t="s">
        <v>42</v>
      </c>
      <c r="X19" s="5" t="s">
        <v>41</v>
      </c>
      <c r="Y19" s="5" t="s">
        <v>41</v>
      </c>
      <c r="Z19" s="5" t="s">
        <v>41</v>
      </c>
      <c r="AA19" s="5" t="s">
        <v>41</v>
      </c>
      <c r="AB19" s="5" t="s">
        <v>41</v>
      </c>
      <c r="AC19" s="5" t="s">
        <v>41</v>
      </c>
      <c r="AD19" s="5" t="s">
        <v>42</v>
      </c>
      <c r="AE19" s="5" t="s">
        <v>41</v>
      </c>
      <c r="AF19" s="5" t="s">
        <v>41</v>
      </c>
      <c r="AG19" s="5" t="s">
        <v>41</v>
      </c>
      <c r="AH19" s="5" t="n">
        <f aca="false">COUNTIF(D19:AG19,"P")</f>
        <v>25</v>
      </c>
      <c r="AI19" s="5" t="n">
        <f aca="false">COUNTIF(D19:AG19,"PL")+COUNTIF(D19:AG19,"SL")+COUNTIF(D19:AG19,"CL")</f>
        <v>0</v>
      </c>
      <c r="AJ19" s="5" t="n">
        <f aca="false">COUNTIF(D19:AG19,"LOP")</f>
        <v>0</v>
      </c>
    </row>
    <row r="22" customFormat="false" ht="15" hidden="false" customHeight="false" outlineLevel="0" collapsed="false">
      <c r="A22" s="10" t="s">
        <v>82</v>
      </c>
    </row>
    <row r="23" customFormat="false" ht="15" hidden="false" customHeight="false" outlineLevel="0" collapsed="false">
      <c r="A23" s="11" t="s">
        <v>83</v>
      </c>
    </row>
    <row r="24" customFormat="false" ht="15" hidden="false" customHeight="false" outlineLevel="0" collapsed="false">
      <c r="A24" s="11" t="s">
        <v>84</v>
      </c>
    </row>
  </sheetData>
  <mergeCells count="2">
    <mergeCell ref="A1:AJ1"/>
    <mergeCell ref="A2:A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12" min="4" style="0" width="10"/>
  </cols>
  <sheetData>
    <row r="1" customFormat="false" ht="17.35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3" t="s">
        <v>95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40</v>
      </c>
      <c r="D5" s="5" t="n">
        <v>15</v>
      </c>
      <c r="E5" s="5" t="n">
        <v>0</v>
      </c>
      <c r="F5" s="5" t="n">
        <v>15</v>
      </c>
      <c r="G5" s="5" t="n">
        <v>8</v>
      </c>
      <c r="H5" s="5" t="n">
        <v>2</v>
      </c>
      <c r="I5" s="5" t="n">
        <v>6</v>
      </c>
      <c r="J5" s="5" t="n">
        <v>6</v>
      </c>
      <c r="K5" s="5" t="n">
        <v>0</v>
      </c>
      <c r="L5" s="5" t="n">
        <v>6</v>
      </c>
    </row>
    <row r="6" customFormat="false" ht="15" hidden="false" customHeight="false" outlineLevel="0" collapsed="false">
      <c r="A6" s="8" t="s">
        <v>45</v>
      </c>
      <c r="B6" s="8" t="s">
        <v>46</v>
      </c>
      <c r="C6" s="8" t="s">
        <v>40</v>
      </c>
      <c r="D6" s="9" t="n">
        <v>15</v>
      </c>
      <c r="E6" s="9" t="n">
        <v>0</v>
      </c>
      <c r="F6" s="9" t="n">
        <v>15</v>
      </c>
      <c r="G6" s="9" t="n">
        <v>8</v>
      </c>
      <c r="H6" s="9" t="n">
        <v>0</v>
      </c>
      <c r="I6" s="9" t="n">
        <v>8</v>
      </c>
      <c r="J6" s="9" t="n">
        <v>6</v>
      </c>
      <c r="K6" s="9" t="n">
        <v>1</v>
      </c>
      <c r="L6" s="9" t="n">
        <v>5</v>
      </c>
    </row>
    <row r="7" customFormat="false" ht="15" hidden="false" customHeight="false" outlineLevel="0" collapsed="false">
      <c r="A7" s="4" t="s">
        <v>47</v>
      </c>
      <c r="B7" s="4" t="s">
        <v>48</v>
      </c>
      <c r="C7" s="4" t="s">
        <v>40</v>
      </c>
      <c r="D7" s="5" t="n">
        <v>15</v>
      </c>
      <c r="E7" s="5" t="n">
        <v>7</v>
      </c>
      <c r="F7" s="5" t="n">
        <v>8</v>
      </c>
      <c r="G7" s="5" t="n">
        <v>8</v>
      </c>
      <c r="H7" s="5" t="n">
        <v>1</v>
      </c>
      <c r="I7" s="5" t="n">
        <v>7</v>
      </c>
      <c r="J7" s="5" t="n">
        <v>6</v>
      </c>
      <c r="K7" s="5" t="n">
        <v>3</v>
      </c>
      <c r="L7" s="5" t="n">
        <v>3</v>
      </c>
    </row>
    <row r="8" customFormat="false" ht="15" hidden="false" customHeight="false" outlineLevel="0" collapsed="false">
      <c r="A8" s="8" t="s">
        <v>51</v>
      </c>
      <c r="B8" s="8" t="s">
        <v>52</v>
      </c>
      <c r="C8" s="8" t="s">
        <v>40</v>
      </c>
      <c r="D8" s="9" t="n">
        <v>15</v>
      </c>
      <c r="E8" s="9" t="n">
        <v>1</v>
      </c>
      <c r="F8" s="9" t="n">
        <v>14</v>
      </c>
      <c r="G8" s="9" t="n">
        <v>8</v>
      </c>
      <c r="H8" s="9" t="n">
        <v>3</v>
      </c>
      <c r="I8" s="9" t="n">
        <v>5</v>
      </c>
      <c r="J8" s="9" t="n">
        <v>6</v>
      </c>
      <c r="K8" s="9" t="n">
        <v>3</v>
      </c>
      <c r="L8" s="9" t="n">
        <v>3</v>
      </c>
    </row>
    <row r="9" customFormat="false" ht="15" hidden="false" customHeight="false" outlineLevel="0" collapsed="false">
      <c r="A9" s="4" t="s">
        <v>53</v>
      </c>
      <c r="B9" s="4" t="s">
        <v>54</v>
      </c>
      <c r="C9" s="4" t="s">
        <v>55</v>
      </c>
      <c r="D9" s="5" t="n">
        <v>15</v>
      </c>
      <c r="E9" s="5" t="n">
        <v>6</v>
      </c>
      <c r="F9" s="5" t="n">
        <v>9</v>
      </c>
      <c r="G9" s="5" t="n">
        <v>8</v>
      </c>
      <c r="H9" s="5" t="n">
        <v>4</v>
      </c>
      <c r="I9" s="5" t="n">
        <v>4</v>
      </c>
      <c r="J9" s="5" t="n">
        <v>6</v>
      </c>
      <c r="K9" s="5" t="n">
        <v>2</v>
      </c>
      <c r="L9" s="5" t="n">
        <v>4</v>
      </c>
    </row>
    <row r="10" customFormat="false" ht="15" hidden="false" customHeight="false" outlineLevel="0" collapsed="false">
      <c r="A10" s="8" t="s">
        <v>56</v>
      </c>
      <c r="B10" s="8" t="s">
        <v>57</v>
      </c>
      <c r="C10" s="8" t="s">
        <v>58</v>
      </c>
      <c r="D10" s="9" t="n">
        <v>15</v>
      </c>
      <c r="E10" s="9" t="n">
        <v>3</v>
      </c>
      <c r="F10" s="9" t="n">
        <v>12</v>
      </c>
      <c r="G10" s="9" t="n">
        <v>8</v>
      </c>
      <c r="H10" s="9" t="n">
        <v>1</v>
      </c>
      <c r="I10" s="9" t="n">
        <v>7</v>
      </c>
      <c r="J10" s="9" t="n">
        <v>6</v>
      </c>
      <c r="K10" s="9" t="n">
        <v>2</v>
      </c>
      <c r="L10" s="9" t="n">
        <v>4</v>
      </c>
    </row>
    <row r="11" customFormat="false" ht="15" hidden="false" customHeight="false" outlineLevel="0" collapsed="false">
      <c r="A11" s="4" t="s">
        <v>59</v>
      </c>
      <c r="B11" s="4" t="s">
        <v>60</v>
      </c>
      <c r="C11" s="4" t="s">
        <v>61</v>
      </c>
      <c r="D11" s="5" t="n">
        <v>15</v>
      </c>
      <c r="E11" s="5" t="n">
        <v>3</v>
      </c>
      <c r="F11" s="5" t="n">
        <v>12</v>
      </c>
      <c r="G11" s="5" t="n">
        <v>8</v>
      </c>
      <c r="H11" s="5" t="n">
        <v>1</v>
      </c>
      <c r="I11" s="5" t="n">
        <v>7</v>
      </c>
      <c r="J11" s="5" t="n">
        <v>6</v>
      </c>
      <c r="K11" s="5" t="n">
        <v>3</v>
      </c>
      <c r="L11" s="5" t="n">
        <v>3</v>
      </c>
    </row>
    <row r="12" customFormat="false" ht="15" hidden="false" customHeight="false" outlineLevel="0" collapsed="false">
      <c r="A12" s="8" t="s">
        <v>62</v>
      </c>
      <c r="B12" s="8" t="s">
        <v>63</v>
      </c>
      <c r="C12" s="8" t="s">
        <v>55</v>
      </c>
      <c r="D12" s="9" t="n">
        <v>15</v>
      </c>
      <c r="E12" s="9" t="n">
        <v>5</v>
      </c>
      <c r="F12" s="9" t="n">
        <v>10</v>
      </c>
      <c r="G12" s="9" t="n">
        <v>8</v>
      </c>
      <c r="H12" s="9" t="n">
        <v>0</v>
      </c>
      <c r="I12" s="9" t="n">
        <v>8</v>
      </c>
      <c r="J12" s="9" t="n">
        <v>6</v>
      </c>
      <c r="K12" s="9" t="n">
        <v>1</v>
      </c>
      <c r="L12" s="9" t="n">
        <v>5</v>
      </c>
    </row>
    <row r="13" customFormat="false" ht="15" hidden="false" customHeight="false" outlineLevel="0" collapsed="false">
      <c r="A13" s="4" t="s">
        <v>64</v>
      </c>
      <c r="B13" s="4" t="s">
        <v>65</v>
      </c>
      <c r="C13" s="4" t="s">
        <v>66</v>
      </c>
      <c r="D13" s="5" t="n">
        <v>15</v>
      </c>
      <c r="E13" s="5" t="n">
        <v>0</v>
      </c>
      <c r="F13" s="5" t="n">
        <v>15</v>
      </c>
      <c r="G13" s="5" t="n">
        <v>8</v>
      </c>
      <c r="H13" s="5" t="n">
        <v>0</v>
      </c>
      <c r="I13" s="5" t="n">
        <v>8</v>
      </c>
      <c r="J13" s="5" t="n">
        <v>6</v>
      </c>
      <c r="K13" s="5" t="n">
        <v>2</v>
      </c>
      <c r="L13" s="5" t="n">
        <v>4</v>
      </c>
    </row>
    <row r="14" customFormat="false" ht="15" hidden="false" customHeight="false" outlineLevel="0" collapsed="false">
      <c r="A14" s="8" t="s">
        <v>67</v>
      </c>
      <c r="B14" s="8" t="s">
        <v>68</v>
      </c>
      <c r="C14" s="8" t="s">
        <v>66</v>
      </c>
      <c r="D14" s="9" t="n">
        <v>15</v>
      </c>
      <c r="E14" s="9" t="n">
        <v>6</v>
      </c>
      <c r="F14" s="9" t="n">
        <v>9</v>
      </c>
      <c r="G14" s="9" t="n">
        <v>8</v>
      </c>
      <c r="H14" s="9" t="n">
        <v>1</v>
      </c>
      <c r="I14" s="9" t="n">
        <v>7</v>
      </c>
      <c r="J14" s="9" t="n">
        <v>6</v>
      </c>
      <c r="K14" s="9" t="n">
        <v>0</v>
      </c>
      <c r="L14" s="9" t="n">
        <v>6</v>
      </c>
    </row>
    <row r="15" customFormat="false" ht="15" hidden="false" customHeight="false" outlineLevel="0" collapsed="false">
      <c r="A15" s="4" t="s">
        <v>69</v>
      </c>
      <c r="B15" s="4" t="s">
        <v>70</v>
      </c>
      <c r="C15" s="4" t="s">
        <v>71</v>
      </c>
      <c r="D15" s="5" t="n">
        <v>15</v>
      </c>
      <c r="E15" s="5" t="n">
        <v>1</v>
      </c>
      <c r="F15" s="5" t="n">
        <v>14</v>
      </c>
      <c r="G15" s="5" t="n">
        <v>8</v>
      </c>
      <c r="H15" s="5" t="n">
        <v>3</v>
      </c>
      <c r="I15" s="5" t="n">
        <v>5</v>
      </c>
      <c r="J15" s="5" t="n">
        <v>6</v>
      </c>
      <c r="K15" s="5" t="n">
        <v>2</v>
      </c>
      <c r="L15" s="5" t="n">
        <v>4</v>
      </c>
    </row>
    <row r="16" customFormat="false" ht="15" hidden="false" customHeight="false" outlineLevel="0" collapsed="false">
      <c r="A16" s="8" t="s">
        <v>72</v>
      </c>
      <c r="B16" s="8" t="s">
        <v>73</v>
      </c>
      <c r="C16" s="8" t="s">
        <v>58</v>
      </c>
      <c r="D16" s="9" t="n">
        <v>15</v>
      </c>
      <c r="E16" s="9" t="n">
        <v>3</v>
      </c>
      <c r="F16" s="9" t="n">
        <v>12</v>
      </c>
      <c r="G16" s="9" t="n">
        <v>8</v>
      </c>
      <c r="H16" s="9" t="n">
        <v>2</v>
      </c>
      <c r="I16" s="9" t="n">
        <v>6</v>
      </c>
      <c r="J16" s="9" t="n">
        <v>6</v>
      </c>
      <c r="K16" s="9" t="n">
        <v>0</v>
      </c>
      <c r="L16" s="9" t="n">
        <v>6</v>
      </c>
    </row>
    <row r="17" customFormat="false" ht="15" hidden="false" customHeight="false" outlineLevel="0" collapsed="false">
      <c r="A17" s="4" t="s">
        <v>74</v>
      </c>
      <c r="B17" s="4" t="s">
        <v>75</v>
      </c>
      <c r="C17" s="4" t="s">
        <v>61</v>
      </c>
      <c r="D17" s="5" t="n">
        <v>15</v>
      </c>
      <c r="E17" s="5" t="n">
        <v>7</v>
      </c>
      <c r="F17" s="5" t="n">
        <v>8</v>
      </c>
      <c r="G17" s="5" t="n">
        <v>8</v>
      </c>
      <c r="H17" s="5" t="n">
        <v>1</v>
      </c>
      <c r="I17" s="5" t="n">
        <v>7</v>
      </c>
      <c r="J17" s="5" t="n">
        <v>6</v>
      </c>
      <c r="K17" s="5" t="n">
        <v>1</v>
      </c>
      <c r="L17" s="5" t="n">
        <v>5</v>
      </c>
    </row>
    <row r="18" customFormat="false" ht="15" hidden="false" customHeight="false" outlineLevel="0" collapsed="false">
      <c r="A18" s="8" t="s">
        <v>76</v>
      </c>
      <c r="B18" s="8" t="s">
        <v>77</v>
      </c>
      <c r="C18" s="8" t="s">
        <v>78</v>
      </c>
      <c r="D18" s="9" t="n">
        <v>15</v>
      </c>
      <c r="E18" s="9" t="n">
        <v>4</v>
      </c>
      <c r="F18" s="9" t="n">
        <v>11</v>
      </c>
      <c r="G18" s="9" t="n">
        <v>8</v>
      </c>
      <c r="H18" s="9" t="n">
        <v>3</v>
      </c>
      <c r="I18" s="9" t="n">
        <v>5</v>
      </c>
      <c r="J18" s="9" t="n">
        <v>6</v>
      </c>
      <c r="K18" s="9" t="n">
        <v>0</v>
      </c>
      <c r="L18" s="9" t="n">
        <v>6</v>
      </c>
    </row>
    <row r="19" customFormat="false" ht="15" hidden="false" customHeight="false" outlineLevel="0" collapsed="false">
      <c r="A19" s="4" t="s">
        <v>79</v>
      </c>
      <c r="B19" s="4" t="s">
        <v>80</v>
      </c>
      <c r="C19" s="4" t="s">
        <v>81</v>
      </c>
      <c r="D19" s="5" t="n">
        <v>15</v>
      </c>
      <c r="E19" s="5" t="n">
        <v>4</v>
      </c>
      <c r="F19" s="5" t="n">
        <v>11</v>
      </c>
      <c r="G19" s="5" t="n">
        <v>8</v>
      </c>
      <c r="H19" s="5" t="n">
        <v>2</v>
      </c>
      <c r="I19" s="5" t="n">
        <v>6</v>
      </c>
      <c r="J19" s="5" t="n">
        <v>6</v>
      </c>
      <c r="K19" s="5" t="n">
        <v>2</v>
      </c>
      <c r="L19" s="5" t="n">
        <v>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2026-09-02T18:44:44Z</dcterms:created>
  <dc:creator>openpyxl</dc:creator>
  <dc:description/>
  <dc:language>en-US</dc:language>
  <cp:lastModifiedBy/>
  <dcterms:modified xsi:type="dcterms:W3CDTF">2026-09-02T18:44:44Z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