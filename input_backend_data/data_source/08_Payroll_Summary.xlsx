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 Sep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<sst xmlns="http://schemas.openxmlformats.org/spreadsheetml/2006/main" count="71" uniqueCount="66">
  <si>
    <t xml:space="preserve">Solara Renewables — Payroll Summary Register</t>
  </si>
  <si>
    <t xml:space="preserve">Pay period: 01-Sep-2026 to 30-Sep-2026 | Pay date: 01-Oct-2026 | Currency: INR | CONFIDENTIAL — Finance &amp; HR access only | Blue text = input cells, Black = calculated</t>
  </si>
  <si>
    <t xml:space="preserve">Employee ID</t>
  </si>
  <si>
    <t xml:space="preserve">Name</t>
  </si>
  <si>
    <t xml:space="preserve">Designation</t>
  </si>
  <si>
    <t xml:space="preserve">Department</t>
  </si>
  <si>
    <t xml:space="preserve">Annual CTC (₹)</t>
  </si>
  <si>
    <t xml:space="preserve">Basic (Monthly)</t>
  </si>
  <si>
    <t xml:space="preserve">HRA (Monthly)</t>
  </si>
  <si>
    <t xml:space="preserve">Conveyance</t>
  </si>
  <si>
    <t xml:space="preserve">Medical Allow.</t>
  </si>
  <si>
    <t xml:space="preserve">Special Allowance</t>
  </si>
  <si>
    <t xml:space="preserve">Gross Earnings</t>
  </si>
  <si>
    <t xml:space="preserve">PF - Employee (12% of Basic)</t>
  </si>
  <si>
    <t xml:space="preserve">Professional Tax</t>
  </si>
  <si>
    <t xml:space="preserve">ESIC - Employee (0.75%)</t>
  </si>
  <si>
    <t xml:space="preserve">TDS (Est.)</t>
  </si>
  <si>
    <t xml:space="preserve">LOP Deduction</t>
  </si>
  <si>
    <t xml:space="preserve">Total Deductions</t>
  </si>
  <si>
    <t xml:space="preserve">Net Pay</t>
  </si>
  <si>
    <t xml:space="preserve">SOL-EMP-0006</t>
  </si>
  <si>
    <t xml:space="preserve">Ananya Rao</t>
  </si>
  <si>
    <t xml:space="preserve">VP - People &amp; Culture</t>
  </si>
  <si>
    <t xml:space="preserve">Human Resources &amp; Admin</t>
  </si>
  <si>
    <t xml:space="preserve">SOL-EMP-0008</t>
  </si>
  <si>
    <t xml:space="preserve">Karthik Subramaniam</t>
  </si>
  <si>
    <t xml:space="preserve">Sr. Manager - HR</t>
  </si>
  <si>
    <t xml:space="preserve">SOL-EMP-0009</t>
  </si>
  <si>
    <t xml:space="preserve">Devika Shah</t>
  </si>
  <si>
    <t xml:space="preserve">Manager - Talent Acquisition</t>
  </si>
  <si>
    <t xml:space="preserve">SOL-EMP-0010</t>
  </si>
  <si>
    <t xml:space="preserve">Pooja Verma</t>
  </si>
  <si>
    <t xml:space="preserve">Executive - Talent Acquisition</t>
  </si>
  <si>
    <t xml:space="preserve">SOL-EMP-0139</t>
  </si>
  <si>
    <t xml:space="preserve">Sneha Patil</t>
  </si>
  <si>
    <t xml:space="preserve">Assistant Manager - QA</t>
  </si>
  <si>
    <t xml:space="preserve">Quality Assurance</t>
  </si>
  <si>
    <t xml:space="preserve">SOL-EMP-0176</t>
  </si>
  <si>
    <t xml:space="preserve">Rohan Deshpande</t>
  </si>
  <si>
    <t xml:space="preserve">Production Supervisor</t>
  </si>
  <si>
    <t xml:space="preserve">Manufacturing &amp; Production</t>
  </si>
  <si>
    <t xml:space="preserve">SOL-EMP-0288</t>
  </si>
  <si>
    <t xml:space="preserve">Meera Joshi</t>
  </si>
  <si>
    <t xml:space="preserve">Senior Electrical Design Engineer</t>
  </si>
  <si>
    <t xml:space="preserve">R&amp;D &amp; Engineering</t>
  </si>
  <si>
    <t xml:space="preserve">SOL-EMP-0044</t>
  </si>
  <si>
    <t xml:space="preserve">Meenal Kanetkar</t>
  </si>
  <si>
    <t xml:space="preserve">Head of Quality Assurance</t>
  </si>
  <si>
    <t xml:space="preserve">SOL-EMP-0051</t>
  </si>
  <si>
    <t xml:space="preserve">Suresh Pillai</t>
  </si>
  <si>
    <t xml:space="preserve">Head of Supply Chain &amp; Procurement</t>
  </si>
  <si>
    <t xml:space="preserve">Supply Chain &amp; Procurement</t>
  </si>
  <si>
    <t xml:space="preserve">SOL-EMP-0121</t>
  </si>
  <si>
    <t xml:space="preserve">Nikhil Bhatt</t>
  </si>
  <si>
    <t xml:space="preserve">Sr. Executive - Supply Chain</t>
  </si>
  <si>
    <t xml:space="preserve">SOL-EMP-0007</t>
  </si>
  <si>
    <t xml:space="preserve">Farhan Sheikh</t>
  </si>
  <si>
    <t xml:space="preserve">Head of IT</t>
  </si>
  <si>
    <t xml:space="preserve">Information Technology</t>
  </si>
  <si>
    <t xml:space="preserve">TOTAL</t>
  </si>
  <si>
    <t xml:space="preserve">Notes &amp; Assumptions</t>
  </si>
  <si>
    <t xml:space="preserve">PF (Provident Fund): 12% of Basic, capped at statutory wage ceiling of ₹15,000/month per EPF Act — matched by an equal employer contribution (not shown here; see CTC reconciliation).</t>
  </si>
  <si>
    <t xml:space="preserve">Professional Tax: flat ₹200/month per Maharashtra PT slab for gross salary above ₹10,000/month (₹300 in February per state slab, not modelled here).</t>
  </si>
  <si>
    <t xml:space="preserve">ESIC: applies only where monthly gross ≤ ₹21,000; employee share 0.75%, employer share 3.25% (not shown here).</t>
  </si>
  <si>
    <t xml:space="preserve">TDS and LOP Deduction cells are inputs (blue) — populate from the Income Tax declaration workbook and the Attendance Tracker respectively each cycle.</t>
  </si>
  <si>
    <t xml:space="preserve">Prepared by: Payroll Officer, HR &amp; Admin | Reviewed by: Solara Renewables Finance &amp; Accounts | This is a summary register — full payslips are generated per employee separately.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</si>
</sst>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8" min="17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5" t="n">
        <v>3800000</v>
      </c>
      <c r="F5" s="6" t="n">
        <f aca="false">ROUND(E5/12*0.86*0.4,0)</f>
        <v>108933</v>
      </c>
      <c r="G5" s="6" t="n">
        <f aca="false">ROUND(F5*0.5,0)</f>
        <v>54467</v>
      </c>
      <c r="H5" s="7" t="n">
        <v>1600</v>
      </c>
      <c r="I5" s="7" t="n">
        <v>1250</v>
      </c>
      <c r="J5" s="6" t="n">
        <f aca="false">ROUND((E5/12*0.86)-F5-G5-H5-I5,0)</f>
        <v>106083</v>
      </c>
      <c r="K5" s="6" t="n">
        <f aca="false">SUM(F5:J5)</f>
        <v>272333</v>
      </c>
      <c r="L5" s="6" t="n">
        <f aca="false">ROUND(MIN(F5,15000)*0.12,0)</f>
        <v>1800</v>
      </c>
      <c r="M5" s="7" t="n">
        <v>200</v>
      </c>
      <c r="N5" s="6" t="n">
        <f aca="false">IF(K5&lt;=21000,ROUND(K5*0.0075,0),0)</f>
        <v>0</v>
      </c>
      <c r="O5" s="7" t="n">
        <v>0</v>
      </c>
      <c r="P5" s="7" t="n">
        <v>0</v>
      </c>
      <c r="Q5" s="6" t="n">
        <f aca="false">SUM(L5:P5)</f>
        <v>2000</v>
      </c>
      <c r="R5" s="6" t="n">
        <f aca="false">K5-Q5</f>
        <v>270333</v>
      </c>
    </row>
    <row r="6" customFormat="false" ht="15" hidden="false" customHeight="false" outlineLevel="0" collapsed="false">
      <c r="A6" s="8" t="s">
        <v>24</v>
      </c>
      <c r="B6" s="8" t="s">
        <v>25</v>
      </c>
      <c r="C6" s="8" t="s">
        <v>26</v>
      </c>
      <c r="D6" s="8" t="s">
        <v>23</v>
      </c>
      <c r="E6" s="9" t="n">
        <v>1680000</v>
      </c>
      <c r="F6" s="10" t="n">
        <f aca="false">ROUND(E6/12*0.86*0.4,0)</f>
        <v>48160</v>
      </c>
      <c r="G6" s="10" t="n">
        <f aca="false">ROUND(F6*0.5,0)</f>
        <v>24080</v>
      </c>
      <c r="H6" s="11" t="n">
        <v>1600</v>
      </c>
      <c r="I6" s="11" t="n">
        <v>1250</v>
      </c>
      <c r="J6" s="10" t="n">
        <f aca="false">ROUND((E6/12*0.86)-F6-G6-H6-I6,0)</f>
        <v>45310</v>
      </c>
      <c r="K6" s="10" t="n">
        <f aca="false">SUM(F6:J6)</f>
        <v>120400</v>
      </c>
      <c r="L6" s="10" t="n">
        <f aca="false">ROUND(MIN(F6,15000)*0.12,0)</f>
        <v>1800</v>
      </c>
      <c r="M6" s="11" t="n">
        <v>200</v>
      </c>
      <c r="N6" s="10" t="n">
        <f aca="false">IF(K6&lt;=21000,ROUND(K6*0.0075,0),0)</f>
        <v>0</v>
      </c>
      <c r="O6" s="11" t="n">
        <v>0</v>
      </c>
      <c r="P6" s="11" t="n">
        <v>0</v>
      </c>
      <c r="Q6" s="10" t="n">
        <f aca="false">SUM(L6:P6)</f>
        <v>2000</v>
      </c>
      <c r="R6" s="10" t="n">
        <f aca="false">K6-Q6</f>
        <v>118400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23</v>
      </c>
      <c r="E7" s="5" t="n">
        <v>1240000</v>
      </c>
      <c r="F7" s="6" t="n">
        <f aca="false">ROUND(E7/12*0.86*0.4,0)</f>
        <v>35547</v>
      </c>
      <c r="G7" s="6" t="n">
        <f aca="false">ROUND(F7*0.5,0)</f>
        <v>17774</v>
      </c>
      <c r="H7" s="7" t="n">
        <v>1600</v>
      </c>
      <c r="I7" s="7" t="n">
        <v>1250</v>
      </c>
      <c r="J7" s="6" t="n">
        <f aca="false">ROUND((E7/12*0.86)-F7-G7-H7-I7,0)</f>
        <v>32696</v>
      </c>
      <c r="K7" s="6" t="n">
        <f aca="false">SUM(F7:J7)</f>
        <v>88867</v>
      </c>
      <c r="L7" s="6" t="n">
        <f aca="false">ROUND(MIN(F7,15000)*0.12,0)</f>
        <v>1800</v>
      </c>
      <c r="M7" s="7" t="n">
        <v>200</v>
      </c>
      <c r="N7" s="6" t="n">
        <f aca="false">IF(K7&lt;=21000,ROUND(K7*0.0075,0),0)</f>
        <v>0</v>
      </c>
      <c r="O7" s="7" t="n">
        <v>0</v>
      </c>
      <c r="P7" s="7" t="n">
        <v>0</v>
      </c>
      <c r="Q7" s="6" t="n">
        <f aca="false">SUM(L7:P7)</f>
        <v>2000</v>
      </c>
      <c r="R7" s="6" t="n">
        <f aca="false">K7-Q7</f>
        <v>86867</v>
      </c>
    </row>
    <row r="8" customFormat="false" ht="15" hidden="false" customHeight="false" outlineLevel="0" collapsed="false">
      <c r="A8" s="8" t="s">
        <v>30</v>
      </c>
      <c r="B8" s="8" t="s">
        <v>31</v>
      </c>
      <c r="C8" s="8" t="s">
        <v>32</v>
      </c>
      <c r="D8" s="8" t="s">
        <v>23</v>
      </c>
      <c r="E8" s="9" t="n">
        <v>540000</v>
      </c>
      <c r="F8" s="10" t="n">
        <f aca="false">ROUND(E8/12*0.86*0.4,0)</f>
        <v>15480</v>
      </c>
      <c r="G8" s="10" t="n">
        <f aca="false">ROUND(F8*0.5,0)</f>
        <v>7740</v>
      </c>
      <c r="H8" s="11" t="n">
        <v>1600</v>
      </c>
      <c r="I8" s="11" t="n">
        <v>1250</v>
      </c>
      <c r="J8" s="10" t="n">
        <f aca="false">ROUND((E8/12*0.86)-F8-G8-H8-I8,0)</f>
        <v>12630</v>
      </c>
      <c r="K8" s="10" t="n">
        <f aca="false">SUM(F8:J8)</f>
        <v>38700</v>
      </c>
      <c r="L8" s="10" t="n">
        <f aca="false">ROUND(MIN(F8,15000)*0.12,0)</f>
        <v>1800</v>
      </c>
      <c r="M8" s="11" t="n">
        <v>200</v>
      </c>
      <c r="N8" s="10" t="n">
        <f aca="false">IF(K8&lt;=21000,ROUND(K8*0.0075,0),0)</f>
        <v>0</v>
      </c>
      <c r="O8" s="11" t="n">
        <v>0</v>
      </c>
      <c r="P8" s="11" t="n">
        <v>0</v>
      </c>
      <c r="Q8" s="10" t="n">
        <f aca="false">SUM(L8:P8)</f>
        <v>2000</v>
      </c>
      <c r="R8" s="10" t="n">
        <f aca="false">K8-Q8</f>
        <v>36700</v>
      </c>
    </row>
    <row r="9" customFormat="false" ht="15" hidden="false" customHeight="false" outlineLevel="0" collapsed="false">
      <c r="A9" s="4" t="s">
        <v>33</v>
      </c>
      <c r="B9" s="4" t="s">
        <v>34</v>
      </c>
      <c r="C9" s="4" t="s">
        <v>35</v>
      </c>
      <c r="D9" s="4" t="s">
        <v>36</v>
      </c>
      <c r="E9" s="5" t="n">
        <v>960000</v>
      </c>
      <c r="F9" s="6" t="n">
        <f aca="false">ROUND(E9/12*0.86*0.4,0)</f>
        <v>27520</v>
      </c>
      <c r="G9" s="6" t="n">
        <f aca="false">ROUND(F9*0.5,0)</f>
        <v>13760</v>
      </c>
      <c r="H9" s="7" t="n">
        <v>1600</v>
      </c>
      <c r="I9" s="7" t="n">
        <v>1250</v>
      </c>
      <c r="J9" s="6" t="n">
        <f aca="false">ROUND((E9/12*0.86)-F9-G9-H9-I9,0)</f>
        <v>24670</v>
      </c>
      <c r="K9" s="6" t="n">
        <f aca="false">SUM(F9:J9)</f>
        <v>68800</v>
      </c>
      <c r="L9" s="6" t="n">
        <f aca="false">ROUND(MIN(F9,15000)*0.12,0)</f>
        <v>1800</v>
      </c>
      <c r="M9" s="7" t="n">
        <v>200</v>
      </c>
      <c r="N9" s="6" t="n">
        <f aca="false">IF(K9&lt;=21000,ROUND(K9*0.0075,0),0)</f>
        <v>0</v>
      </c>
      <c r="O9" s="7" t="n">
        <v>0</v>
      </c>
      <c r="P9" s="7" t="n">
        <v>0</v>
      </c>
      <c r="Q9" s="6" t="n">
        <f aca="false">SUM(L9:P9)</f>
        <v>2000</v>
      </c>
      <c r="R9" s="6" t="n">
        <f aca="false">K9-Q9</f>
        <v>66800</v>
      </c>
    </row>
    <row r="10" customFormat="false" ht="15" hidden="false" customHeight="false" outlineLevel="0" collapsed="false">
      <c r="A10" s="8" t="s">
        <v>37</v>
      </c>
      <c r="B10" s="8" t="s">
        <v>38</v>
      </c>
      <c r="C10" s="8" t="s">
        <v>39</v>
      </c>
      <c r="D10" s="8" t="s">
        <v>40</v>
      </c>
      <c r="E10" s="9" t="n">
        <v>680000</v>
      </c>
      <c r="F10" s="10" t="n">
        <f aca="false">ROUND(E10/12*0.86*0.4,0)</f>
        <v>19493</v>
      </c>
      <c r="G10" s="10" t="n">
        <f aca="false">ROUND(F10*0.5,0)</f>
        <v>9747</v>
      </c>
      <c r="H10" s="11" t="n">
        <v>1600</v>
      </c>
      <c r="I10" s="11" t="n">
        <v>1250</v>
      </c>
      <c r="J10" s="10" t="n">
        <f aca="false">ROUND((E10/12*0.86)-F10-G10-H10-I10,0)</f>
        <v>16643</v>
      </c>
      <c r="K10" s="10" t="n">
        <f aca="false">SUM(F10:J10)</f>
        <v>48733</v>
      </c>
      <c r="L10" s="10" t="n">
        <f aca="false">ROUND(MIN(F10,15000)*0.12,0)</f>
        <v>1800</v>
      </c>
      <c r="M10" s="11" t="n">
        <v>200</v>
      </c>
      <c r="N10" s="10" t="n">
        <f aca="false">IF(K10&lt;=21000,ROUND(K10*0.0075,0),0)</f>
        <v>0</v>
      </c>
      <c r="O10" s="11" t="n">
        <v>0</v>
      </c>
      <c r="P10" s="11" t="n">
        <v>0</v>
      </c>
      <c r="Q10" s="10" t="n">
        <f aca="false">SUM(L10:P10)</f>
        <v>2000</v>
      </c>
      <c r="R10" s="10" t="n">
        <f aca="false">K10-Q10</f>
        <v>46733</v>
      </c>
    </row>
    <row r="11" customFormat="false" ht="15" hidden="false" customHeight="false" outlineLevel="0" collapsed="false">
      <c r="A11" s="4" t="s">
        <v>41</v>
      </c>
      <c r="B11" s="4" t="s">
        <v>42</v>
      </c>
      <c r="C11" s="4" t="s">
        <v>43</v>
      </c>
      <c r="D11" s="4" t="s">
        <v>44</v>
      </c>
      <c r="E11" s="5" t="n">
        <v>1440000</v>
      </c>
      <c r="F11" s="6" t="n">
        <f aca="false">ROUND(E11/12*0.86*0.4,0)</f>
        <v>41280</v>
      </c>
      <c r="G11" s="6" t="n">
        <f aca="false">ROUND(F11*0.5,0)</f>
        <v>20640</v>
      </c>
      <c r="H11" s="7" t="n">
        <v>1600</v>
      </c>
      <c r="I11" s="7" t="n">
        <v>1250</v>
      </c>
      <c r="J11" s="6" t="n">
        <f aca="false">ROUND((E11/12*0.86)-F11-G11-H11-I11,0)</f>
        <v>38430</v>
      </c>
      <c r="K11" s="6" t="n">
        <f aca="false">SUM(F11:J11)</f>
        <v>103200</v>
      </c>
      <c r="L11" s="6" t="n">
        <f aca="false">ROUND(MIN(F11,15000)*0.12,0)</f>
        <v>1800</v>
      </c>
      <c r="M11" s="7" t="n">
        <v>200</v>
      </c>
      <c r="N11" s="6" t="n">
        <f aca="false">IF(K11&lt;=21000,ROUND(K11*0.0075,0),0)</f>
        <v>0</v>
      </c>
      <c r="O11" s="7" t="n">
        <v>0</v>
      </c>
      <c r="P11" s="7" t="n">
        <v>0</v>
      </c>
      <c r="Q11" s="6" t="n">
        <f aca="false">SUM(L11:P11)</f>
        <v>2000</v>
      </c>
      <c r="R11" s="6" t="n">
        <f aca="false">K11-Q11</f>
        <v>101200</v>
      </c>
    </row>
    <row r="12" customFormat="false" ht="15" hidden="false" customHeight="false" outlineLevel="0" collapsed="false">
      <c r="A12" s="8" t="s">
        <v>45</v>
      </c>
      <c r="B12" s="8" t="s">
        <v>46</v>
      </c>
      <c r="C12" s="8" t="s">
        <v>47</v>
      </c>
      <c r="D12" s="8" t="s">
        <v>36</v>
      </c>
      <c r="E12" s="9" t="n">
        <v>2250000</v>
      </c>
      <c r="F12" s="10" t="n">
        <f aca="false">ROUND(E12/12*0.86*0.4,0)</f>
        <v>64500</v>
      </c>
      <c r="G12" s="10" t="n">
        <f aca="false">ROUND(F12*0.5,0)</f>
        <v>32250</v>
      </c>
      <c r="H12" s="11" t="n">
        <v>1600</v>
      </c>
      <c r="I12" s="11" t="n">
        <v>1250</v>
      </c>
      <c r="J12" s="10" t="n">
        <f aca="false">ROUND((E12/12*0.86)-F12-G12-H12-I12,0)</f>
        <v>61650</v>
      </c>
      <c r="K12" s="10" t="n">
        <f aca="false">SUM(F12:J12)</f>
        <v>161250</v>
      </c>
      <c r="L12" s="10" t="n">
        <f aca="false">ROUND(MIN(F12,15000)*0.12,0)</f>
        <v>1800</v>
      </c>
      <c r="M12" s="11" t="n">
        <v>200</v>
      </c>
      <c r="N12" s="10" t="n">
        <f aca="false">IF(K12&lt;=21000,ROUND(K12*0.0075,0),0)</f>
        <v>0</v>
      </c>
      <c r="O12" s="11" t="n">
        <v>0</v>
      </c>
      <c r="P12" s="11" t="n">
        <v>0</v>
      </c>
      <c r="Q12" s="10" t="n">
        <f aca="false">SUM(L12:P12)</f>
        <v>2000</v>
      </c>
      <c r="R12" s="10" t="n">
        <f aca="false">K12-Q12</f>
        <v>159250</v>
      </c>
    </row>
    <row r="13" customFormat="false" ht="15" hidden="false" customHeight="false" outlineLevel="0" collapsed="false">
      <c r="A13" s="4" t="s">
        <v>48</v>
      </c>
      <c r="B13" s="4" t="s">
        <v>49</v>
      </c>
      <c r="C13" s="4" t="s">
        <v>50</v>
      </c>
      <c r="D13" s="4" t="s">
        <v>51</v>
      </c>
      <c r="E13" s="5" t="n">
        <v>2400000</v>
      </c>
      <c r="F13" s="6" t="n">
        <f aca="false">ROUND(E13/12*0.86*0.4,0)</f>
        <v>68800</v>
      </c>
      <c r="G13" s="6" t="n">
        <f aca="false">ROUND(F13*0.5,0)</f>
        <v>34400</v>
      </c>
      <c r="H13" s="7" t="n">
        <v>1600</v>
      </c>
      <c r="I13" s="7" t="n">
        <v>1250</v>
      </c>
      <c r="J13" s="6" t="n">
        <f aca="false">ROUND((E13/12*0.86)-F13-G13-H13-I13,0)</f>
        <v>65950</v>
      </c>
      <c r="K13" s="6" t="n">
        <f aca="false">SUM(F13:J13)</f>
        <v>172000</v>
      </c>
      <c r="L13" s="6" t="n">
        <f aca="false">ROUND(MIN(F13,15000)*0.12,0)</f>
        <v>1800</v>
      </c>
      <c r="M13" s="7" t="n">
        <v>200</v>
      </c>
      <c r="N13" s="6" t="n">
        <f aca="false">IF(K13&lt;=21000,ROUND(K13*0.0075,0),0)</f>
        <v>0</v>
      </c>
      <c r="O13" s="7" t="n">
        <v>0</v>
      </c>
      <c r="P13" s="7" t="n">
        <v>0</v>
      </c>
      <c r="Q13" s="6" t="n">
        <f aca="false">SUM(L13:P13)</f>
        <v>2000</v>
      </c>
      <c r="R13" s="6" t="n">
        <f aca="false">K13-Q13</f>
        <v>170000</v>
      </c>
    </row>
    <row r="14" customFormat="false" ht="15" hidden="false" customHeight="false" outlineLevel="0" collapsed="false">
      <c r="A14" s="8" t="s">
        <v>52</v>
      </c>
      <c r="B14" s="8" t="s">
        <v>53</v>
      </c>
      <c r="C14" s="8" t="s">
        <v>54</v>
      </c>
      <c r="D14" s="8" t="s">
        <v>51</v>
      </c>
      <c r="E14" s="9" t="n">
        <v>820000</v>
      </c>
      <c r="F14" s="10" t="n">
        <f aca="false">ROUND(E14/12*0.86*0.4,0)</f>
        <v>23507</v>
      </c>
      <c r="G14" s="10" t="n">
        <f aca="false">ROUND(F14*0.5,0)</f>
        <v>11754</v>
      </c>
      <c r="H14" s="11" t="n">
        <v>1600</v>
      </c>
      <c r="I14" s="11" t="n">
        <v>1250</v>
      </c>
      <c r="J14" s="10" t="n">
        <f aca="false">ROUND((E14/12*0.86)-F14-G14-H14-I14,0)</f>
        <v>20656</v>
      </c>
      <c r="K14" s="10" t="n">
        <f aca="false">SUM(F14:J14)</f>
        <v>58767</v>
      </c>
      <c r="L14" s="10" t="n">
        <f aca="false">ROUND(MIN(F14,15000)*0.12,0)</f>
        <v>1800</v>
      </c>
      <c r="M14" s="11" t="n">
        <v>200</v>
      </c>
      <c r="N14" s="10" t="n">
        <f aca="false">IF(K14&lt;=21000,ROUND(K14*0.0075,0),0)</f>
        <v>0</v>
      </c>
      <c r="O14" s="11" t="n">
        <v>0</v>
      </c>
      <c r="P14" s="11" t="n">
        <v>0</v>
      </c>
      <c r="Q14" s="10" t="n">
        <f aca="false">SUM(L14:P14)</f>
        <v>2000</v>
      </c>
      <c r="R14" s="10" t="n">
        <f aca="false">K14-Q14</f>
        <v>56767</v>
      </c>
    </row>
    <row r="15" customFormat="false" ht="15" hidden="false" customHeight="false" outlineLevel="0" collapsed="false">
      <c r="A15" s="4" t="s">
        <v>55</v>
      </c>
      <c r="B15" s="4" t="s">
        <v>56</v>
      </c>
      <c r="C15" s="4" t="s">
        <v>57</v>
      </c>
      <c r="D15" s="4" t="s">
        <v>58</v>
      </c>
      <c r="E15" s="5" t="n">
        <v>2160000</v>
      </c>
      <c r="F15" s="6" t="n">
        <f aca="false">ROUND(E15/12*0.86*0.4,0)</f>
        <v>61920</v>
      </c>
      <c r="G15" s="6" t="n">
        <f aca="false">ROUND(F15*0.5,0)</f>
        <v>30960</v>
      </c>
      <c r="H15" s="7" t="n">
        <v>1600</v>
      </c>
      <c r="I15" s="7" t="n">
        <v>1250</v>
      </c>
      <c r="J15" s="6" t="n">
        <f aca="false">ROUND((E15/12*0.86)-F15-G15-H15-I15,0)</f>
        <v>59070</v>
      </c>
      <c r="K15" s="6" t="n">
        <f aca="false">SUM(F15:J15)</f>
        <v>154800</v>
      </c>
      <c r="L15" s="6" t="n">
        <f aca="false">ROUND(MIN(F15,15000)*0.12,0)</f>
        <v>1800</v>
      </c>
      <c r="M15" s="7" t="n">
        <v>200</v>
      </c>
      <c r="N15" s="6" t="n">
        <f aca="false">IF(K15&lt;=21000,ROUND(K15*0.0075,0),0)</f>
        <v>0</v>
      </c>
      <c r="O15" s="7" t="n">
        <v>0</v>
      </c>
      <c r="P15" s="7" t="n">
        <v>0</v>
      </c>
      <c r="Q15" s="6" t="n">
        <f aca="false">SUM(L15:P15)</f>
        <v>2000</v>
      </c>
      <c r="R15" s="6" t="n">
        <f aca="false">K15-Q15</f>
        <v>152800</v>
      </c>
    </row>
    <row r="17" customFormat="false" ht="15" hidden="false" customHeight="false" outlineLevel="0" collapsed="false">
      <c r="D17" s="12" t="s">
        <v>59</v>
      </c>
      <c r="K17" s="13" t="n">
        <f aca="false">SUM(K5:K15)</f>
        <v>1287850</v>
      </c>
      <c r="L17" s="13" t="n">
        <f aca="false">SUM(L5:L15)</f>
        <v>19800</v>
      </c>
      <c r="M17" s="13" t="n">
        <f aca="false">SUM(M5:M15)</f>
        <v>2200</v>
      </c>
      <c r="N17" s="13" t="n">
        <f aca="false">SUM(N5:N15)</f>
        <v>0</v>
      </c>
      <c r="O17" s="13" t="n">
        <f aca="false">SUM(O5:O15)</f>
        <v>0</v>
      </c>
      <c r="P17" s="13" t="n">
        <f aca="false">SUM(P5:P15)</f>
        <v>0</v>
      </c>
      <c r="Q17" s="13" t="n">
        <f aca="false">SUM(Q5:Q15)</f>
        <v>22000</v>
      </c>
      <c r="R17" s="13" t="n">
        <f aca="false">SUM(R5:R15)</f>
        <v>1265850</v>
      </c>
    </row>
    <row r="20" customFormat="false" ht="15" hidden="false" customHeight="false" outlineLevel="0" collapsed="false">
      <c r="A20" s="12" t="s">
        <v>60</v>
      </c>
    </row>
    <row r="21" customFormat="false" ht="15" hidden="false" customHeight="false" outlineLevel="0" collapsed="false">
      <c r="A21" s="14" t="s">
        <v>61</v>
      </c>
    </row>
    <row r="22" customFormat="false" ht="15" hidden="false" customHeight="false" outlineLevel="0" collapsed="false">
      <c r="A22" s="14" t="s">
        <v>62</v>
      </c>
    </row>
    <row r="23" customFormat="false" ht="15" hidden="false" customHeight="false" outlineLevel="0" collapsed="false">
      <c r="A23" s="14" t="s">
        <v>63</v>
      </c>
    </row>
    <row r="24" customFormat="false" ht="15" hidden="false" customHeight="false" outlineLevel="0" collapsed="false">
      <c r="A24" s="14" t="s">
        <v>64</v>
      </c>
    </row>
    <row r="25" customFormat="false" ht="15" hidden="false" customHeight="false" outlineLevel="0" collapsed="false">
      <c r="A25" s="14" t="s">
        <v>65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2026-09-02T18:45:23Z</dcterms:created>
  <dc:creator>openpyxl</dc:creator>
  <dc:description/>
  <dc:language>en-US</dc:language>
  <cp:lastModifiedBy/>
  <dcterms:modified xsi:type="dcterms:W3CDTF">2026-09-02T18:45:23Z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