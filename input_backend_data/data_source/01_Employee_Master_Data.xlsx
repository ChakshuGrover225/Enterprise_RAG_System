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Master" sheetId="1" state="visible" r:id="rId3"/>
    <sheet name="Headcoun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<sst xmlns="http://schemas.openxmlformats.org/spreadsheetml/2006/main" count="840" uniqueCount="305">
  <si>
    <t xml:space="preserve">Solara Renewables &amp; Manufacturing Private Limited — Employee Master Data</t>
  </si>
  <si>
    <t xml:space="preserve">HRIS extract generated for internal reference. Full active register: 287 employees. This sheet shows a representative sample of 50 records across all departments. CONFIDENTIAL — HR &amp; Admin access only.</t>
  </si>
  <si>
    <t xml:space="preserve">Employee ID</t>
  </si>
  <si>
    <t xml:space="preserve">Full Name</t>
  </si>
  <si>
    <t xml:space="preserve">Gender</t>
  </si>
  <si>
    <t xml:space="preserve">Date of Birth</t>
  </si>
  <si>
    <t xml:space="preserve">Date of Joining</t>
  </si>
  <si>
    <t xml:space="preserve">Designation</t>
  </si>
  <si>
    <t xml:space="preserve">Department</t>
  </si>
  <si>
    <t xml:space="preserve">Grade/Band</t>
  </si>
  <si>
    <t xml:space="preserve">Employment Type</t>
  </si>
  <si>
    <t xml:space="preserve">Work Location</t>
  </si>
  <si>
    <t xml:space="preserve">Reporting Manager</t>
  </si>
  <si>
    <t xml:space="preserve">Official Email</t>
  </si>
  <si>
    <t xml:space="preserve">Mobile Number</t>
  </si>
  <si>
    <t xml:space="preserve">Blood Group</t>
  </si>
  <si>
    <t xml:space="preserve">Marital Status</t>
  </si>
  <si>
    <t xml:space="preserve">Annual CTC (INR Lakhs)</t>
  </si>
  <si>
    <t xml:space="preserve">Employment Status</t>
  </si>
  <si>
    <t xml:space="preserve">Tenure (Years)</t>
  </si>
  <si>
    <t xml:space="preserve">PF Applicable</t>
  </si>
  <si>
    <t xml:space="preserve">ESIC Applicable</t>
  </si>
  <si>
    <t xml:space="preserve">SOL-EMP-0001</t>
  </si>
  <si>
    <t xml:space="preserve">Rajeev Menon</t>
  </si>
  <si>
    <t xml:space="preserve">M</t>
  </si>
  <si>
    <t xml:space="preserve">Managing Director &amp; Chief Executive Officer</t>
  </si>
  <si>
    <t xml:space="preserve">Executive Office</t>
  </si>
  <si>
    <t xml:space="preserve">L1</t>
  </si>
  <si>
    <t xml:space="preserve">Full-time, Permanent</t>
  </si>
  <si>
    <t xml:space="preserve">Corporate Office, Viman Nagar, Pune</t>
  </si>
  <si>
    <t xml:space="preserve">Board of Directors</t>
  </si>
  <si>
    <t xml:space="preserve">rajeev.menon@solararenewables.in</t>
  </si>
  <si>
    <t xml:space="preserve">9895822412</t>
  </si>
  <si>
    <t xml:space="preserve">A+</t>
  </si>
  <si>
    <t xml:space="preserve">Married</t>
  </si>
  <si>
    <t xml:space="preserve">Active</t>
  </si>
  <si>
    <t xml:space="preserve">Yes</t>
  </si>
  <si>
    <t xml:space="preserve">No</t>
  </si>
  <si>
    <t xml:space="preserve">SOL-EMP-0002</t>
  </si>
  <si>
    <t xml:space="preserve">Priya Iyer</t>
  </si>
  <si>
    <t xml:space="preserve">F</t>
  </si>
  <si>
    <t xml:space="preserve">Chief Financial Officer</t>
  </si>
  <si>
    <t xml:space="preserve">Finance &amp; Accounts</t>
  </si>
  <si>
    <t xml:space="preserve">priya.iyer@solararenewables.in</t>
  </si>
  <si>
    <t xml:space="preserve">9846913810</t>
  </si>
  <si>
    <t xml:space="preserve">B+</t>
  </si>
  <si>
    <t xml:space="preserve">SOL-EMP-0003</t>
  </si>
  <si>
    <t xml:space="preserve">Vikram Desai</t>
  </si>
  <si>
    <t xml:space="preserve">Vice President, Manufacturing &amp; Operations</t>
  </si>
  <si>
    <t xml:space="preserve">Manufacturing &amp; Production</t>
  </si>
  <si>
    <t xml:space="preserve">vikram.desai@solararenewables.in</t>
  </si>
  <si>
    <t xml:space="preserve">9823756669</t>
  </si>
  <si>
    <t xml:space="preserve">B-</t>
  </si>
  <si>
    <t xml:space="preserve">SOL-EMP-0004</t>
  </si>
  <si>
    <t xml:space="preserve">Sanjana Kulkarni</t>
  </si>
  <si>
    <t xml:space="preserve">Vice President &amp; Head of R&amp;D (CTO)</t>
  </si>
  <si>
    <t xml:space="preserve">R&amp;D &amp; Engineering</t>
  </si>
  <si>
    <t xml:space="preserve">sanjana.kulkarni@solararenewables.in</t>
  </si>
  <si>
    <t xml:space="preserve">9883197857</t>
  </si>
  <si>
    <t xml:space="preserve">SOL-EMP-0005</t>
  </si>
  <si>
    <t xml:space="preserve">Arjun Nair</t>
  </si>
  <si>
    <t xml:space="preserve">Vice President, Sales &amp; Marketing</t>
  </si>
  <si>
    <t xml:space="preserve">Sales &amp; Marketing</t>
  </si>
  <si>
    <t xml:space="preserve">arjun.nair@solararenewables.in</t>
  </si>
  <si>
    <t xml:space="preserve">9814265799</t>
  </si>
  <si>
    <t xml:space="preserve">SOL-EMP-0006</t>
  </si>
  <si>
    <t xml:space="preserve">Ananya Rao</t>
  </si>
  <si>
    <t xml:space="preserve">Vice President, People &amp; Culture</t>
  </si>
  <si>
    <t xml:space="preserve">Human Resources &amp; Admin</t>
  </si>
  <si>
    <t xml:space="preserve">ananya.rao@solararenewables.in</t>
  </si>
  <si>
    <t xml:space="preserve">9841227216</t>
  </si>
  <si>
    <t xml:space="preserve">A-</t>
  </si>
  <si>
    <t xml:space="preserve">SOL-EMP-0007</t>
  </si>
  <si>
    <t xml:space="preserve">Farhan Sheikh</t>
  </si>
  <si>
    <t xml:space="preserve">Head of Information Technology</t>
  </si>
  <si>
    <t xml:space="preserve">Information Technology</t>
  </si>
  <si>
    <t xml:space="preserve">farhan.sheikh@solararenewables.in</t>
  </si>
  <si>
    <t xml:space="preserve">9885329037</t>
  </si>
  <si>
    <t xml:space="preserve">SOL-EMP-0008</t>
  </si>
  <si>
    <t xml:space="preserve">Karthik Subramaniam</t>
  </si>
  <si>
    <t xml:space="preserve">Senior Manager - HR (Employee Relations &amp; Compliance)</t>
  </si>
  <si>
    <t xml:space="preserve">karthik.s@solararenewables.in</t>
  </si>
  <si>
    <t xml:space="preserve">9883140807</t>
  </si>
  <si>
    <t xml:space="preserve">AB+</t>
  </si>
  <si>
    <t xml:space="preserve">SOL-EMP-0009</t>
  </si>
  <si>
    <t xml:space="preserve">Devika Shah</t>
  </si>
  <si>
    <t xml:space="preserve">Manager - Talent Acquisition</t>
  </si>
  <si>
    <t xml:space="preserve">devika.shah@solararenewables.in</t>
  </si>
  <si>
    <t xml:space="preserve">9889089901</t>
  </si>
  <si>
    <t xml:space="preserve">O+</t>
  </si>
  <si>
    <t xml:space="preserve">SOL-EMP-0010</t>
  </si>
  <si>
    <t xml:space="preserve">Pooja Verma</t>
  </si>
  <si>
    <t xml:space="preserve">Executive - Talent Acquisition</t>
  </si>
  <si>
    <t xml:space="preserve">pooja.verma@solararenewables.in</t>
  </si>
  <si>
    <t xml:space="preserve">9810872248</t>
  </si>
  <si>
    <t xml:space="preserve">O-</t>
  </si>
  <si>
    <t xml:space="preserve">SOL-EMP-0044</t>
  </si>
  <si>
    <t xml:space="preserve">Meenal Kanetkar</t>
  </si>
  <si>
    <t xml:space="preserve">Head of Quality Assurance</t>
  </si>
  <si>
    <t xml:space="preserve">Quality Assurance</t>
  </si>
  <si>
    <t xml:space="preserve">meenal.kanetkar@solararenewables.in</t>
  </si>
  <si>
    <t xml:space="preserve">9866722344</t>
  </si>
  <si>
    <t xml:space="preserve">SOL-EMP-0051</t>
  </si>
  <si>
    <t xml:space="preserve">Suresh Pillai</t>
  </si>
  <si>
    <t xml:space="preserve">Head of Supply Chain &amp; Procurement</t>
  </si>
  <si>
    <t xml:space="preserve">Supply Chain &amp; Procurement</t>
  </si>
  <si>
    <t xml:space="preserve">suresh.pillai@solararenewables.in</t>
  </si>
  <si>
    <t xml:space="preserve">9838898923</t>
  </si>
  <si>
    <t xml:space="preserve">SOL-EMP-0288</t>
  </si>
  <si>
    <t xml:space="preserve">Meera Joshi</t>
  </si>
  <si>
    <t xml:space="preserve">Senior Electrical Design Engineer</t>
  </si>
  <si>
    <t xml:space="preserve">M2</t>
  </si>
  <si>
    <t xml:space="preserve">meera.joshi@solararenewables.in</t>
  </si>
  <si>
    <t xml:space="preserve">9822014455</t>
  </si>
  <si>
    <t xml:space="preserve">Single</t>
  </si>
  <si>
    <t xml:space="preserve">SOL-EMP-0139</t>
  </si>
  <si>
    <t xml:space="preserve">Sneha Patil</t>
  </si>
  <si>
    <t xml:space="preserve">Assistant Manager - Quality Assurance</t>
  </si>
  <si>
    <t xml:space="preserve">M1</t>
  </si>
  <si>
    <t xml:space="preserve">Plant 1, Chakan</t>
  </si>
  <si>
    <t xml:space="preserve">sneha.patil@solararenewables.in</t>
  </si>
  <si>
    <t xml:space="preserve">9876543210</t>
  </si>
  <si>
    <t xml:space="preserve">SOL-EMP-0176</t>
  </si>
  <si>
    <t xml:space="preserve">Rohan Deshpande</t>
  </si>
  <si>
    <t xml:space="preserve">Production Supervisor</t>
  </si>
  <si>
    <t xml:space="preserve">E3</t>
  </si>
  <si>
    <t xml:space="preserve">rohan.deshpande@solararenewables.in</t>
  </si>
  <si>
    <t xml:space="preserve">9765432109</t>
  </si>
  <si>
    <t xml:space="preserve">Active - Under Review</t>
  </si>
  <si>
    <t xml:space="preserve">SOL-EMP-0121</t>
  </si>
  <si>
    <t xml:space="preserve">Nikhil Bhatt</t>
  </si>
  <si>
    <t xml:space="preserve">Senior Executive - Supply Chain</t>
  </si>
  <si>
    <t xml:space="preserve">E4</t>
  </si>
  <si>
    <t xml:space="preserve">nikhil.bhatt@solararenewables.in</t>
  </si>
  <si>
    <t xml:space="preserve">9654321098</t>
  </si>
  <si>
    <t xml:space="preserve">Resigned (LWD 30-Sep-2026)</t>
  </si>
  <si>
    <t xml:space="preserve">SOL-EMP-0012</t>
  </si>
  <si>
    <t xml:space="preserve">Rahul Kamble</t>
  </si>
  <si>
    <t xml:space="preserve">Manager - Quality Assurance</t>
  </si>
  <si>
    <t xml:space="preserve">Plant 2, Ranjangaon</t>
  </si>
  <si>
    <t xml:space="preserve">rahul.kamble@solararenewables.in</t>
  </si>
  <si>
    <t xml:space="preserve">9990566476</t>
  </si>
  <si>
    <t xml:space="preserve">SOL-EMP-0013</t>
  </si>
  <si>
    <t xml:space="preserve">Mahesh Menon</t>
  </si>
  <si>
    <t xml:space="preserve">Sales Executive</t>
  </si>
  <si>
    <t xml:space="preserve">mahesh.menon@solararenewables.in</t>
  </si>
  <si>
    <t xml:space="preserve">9324956459</t>
  </si>
  <si>
    <t xml:space="preserve">SOL-EMP-0014</t>
  </si>
  <si>
    <t xml:space="preserve">Abhishek Chavan</t>
  </si>
  <si>
    <t xml:space="preserve">QA Engineer</t>
  </si>
  <si>
    <t xml:space="preserve">E1</t>
  </si>
  <si>
    <t xml:space="preserve">abhishek.chavan@solararenewables.in</t>
  </si>
  <si>
    <t xml:space="preserve">9171069472</t>
  </si>
  <si>
    <t xml:space="preserve">SOL-EMP-0015</t>
  </si>
  <si>
    <t xml:space="preserve">Nikita Phadke</t>
  </si>
  <si>
    <t xml:space="preserve">Marketing Executive</t>
  </si>
  <si>
    <t xml:space="preserve">Sales Office, Bengaluru</t>
  </si>
  <si>
    <t xml:space="preserve">nikita.phadke@solararenewables.in</t>
  </si>
  <si>
    <t xml:space="preserve">9488690725</t>
  </si>
  <si>
    <t xml:space="preserve">SOL-EMP-0016</t>
  </si>
  <si>
    <t xml:space="preserve">Ravi Patil</t>
  </si>
  <si>
    <t xml:space="preserve">Procurement Executive</t>
  </si>
  <si>
    <t xml:space="preserve">ravi.patil@solararenewables.in</t>
  </si>
  <si>
    <t xml:space="preserve">9830448745</t>
  </si>
  <si>
    <t xml:space="preserve">Resigned</t>
  </si>
  <si>
    <t xml:space="preserve">SOL-EMP-0017</t>
  </si>
  <si>
    <t xml:space="preserve">Kunal Gaikwad</t>
  </si>
  <si>
    <t xml:space="preserve">Assistant Manager - Finance</t>
  </si>
  <si>
    <t xml:space="preserve">E2</t>
  </si>
  <si>
    <t xml:space="preserve">kunal.gaikwad@solararenewables.in</t>
  </si>
  <si>
    <t xml:space="preserve">9264109919</t>
  </si>
  <si>
    <t xml:space="preserve">SOL-EMP-0018</t>
  </si>
  <si>
    <t xml:space="preserve">Komal Deshpande</t>
  </si>
  <si>
    <t xml:space="preserve">Manager - Production</t>
  </si>
  <si>
    <t xml:space="preserve">komal.deshpande@solararenewables.in</t>
  </si>
  <si>
    <t xml:space="preserve">9976198296</t>
  </si>
  <si>
    <t xml:space="preserve">On Leave</t>
  </si>
  <si>
    <t xml:space="preserve">SOL-EMP-0019</t>
  </si>
  <si>
    <t xml:space="preserve">Yash More</t>
  </si>
  <si>
    <t xml:space="preserve">Test Engineer</t>
  </si>
  <si>
    <t xml:space="preserve">yash.more@solararenewables.in</t>
  </si>
  <si>
    <t xml:space="preserve">9229927269</t>
  </si>
  <si>
    <t xml:space="preserve">SOL-EMP-0020</t>
  </si>
  <si>
    <t xml:space="preserve">Harsh Kale</t>
  </si>
  <si>
    <t xml:space="preserve">harsh.kale@solararenewables.in</t>
  </si>
  <si>
    <t xml:space="preserve">9176082500</t>
  </si>
  <si>
    <t xml:space="preserve">SOL-EMP-0021</t>
  </si>
  <si>
    <t xml:space="preserve">Vivek Shah</t>
  </si>
  <si>
    <t xml:space="preserve">Financial Analyst</t>
  </si>
  <si>
    <t xml:space="preserve">vivek.shah@solararenewables.in</t>
  </si>
  <si>
    <t xml:space="preserve">9480424119</t>
  </si>
  <si>
    <t xml:space="preserve">SOL-EMP-0022</t>
  </si>
  <si>
    <t xml:space="preserve">Aditya Kanetkar</t>
  </si>
  <si>
    <t xml:space="preserve">aditya.kanetkar@solararenewables.in</t>
  </si>
  <si>
    <t xml:space="preserve">9368227631</t>
  </si>
  <si>
    <t xml:space="preserve">SOL-EMP-0023</t>
  </si>
  <si>
    <t xml:space="preserve">Chetan Kale</t>
  </si>
  <si>
    <t xml:space="preserve">Full-time, Probation</t>
  </si>
  <si>
    <t xml:space="preserve">chetan.kale@solararenewables.in</t>
  </si>
  <si>
    <t xml:space="preserve">9506919288</t>
  </si>
  <si>
    <t xml:space="preserve">SOL-EMP-0024</t>
  </si>
  <si>
    <t xml:space="preserve">Rutuja Thackeray</t>
  </si>
  <si>
    <t xml:space="preserve">rutuja.thackeray@solararenewables.in</t>
  </si>
  <si>
    <t xml:space="preserve">9903132646</t>
  </si>
  <si>
    <t xml:space="preserve">SOL-EMP-0025</t>
  </si>
  <si>
    <t xml:space="preserve">Swati Phadke</t>
  </si>
  <si>
    <t xml:space="preserve">swati.phadke@solararenewables.in</t>
  </si>
  <si>
    <t xml:space="preserve">9228727266</t>
  </si>
  <si>
    <t xml:space="preserve">SOL-EMP-0026</t>
  </si>
  <si>
    <t xml:space="preserve">Prashant Salunkhe</t>
  </si>
  <si>
    <t xml:space="preserve">prashant.salunkhe@solararenewables.in</t>
  </si>
  <si>
    <t xml:space="preserve">9590941149</t>
  </si>
  <si>
    <t xml:space="preserve">SOL-EMP-0027</t>
  </si>
  <si>
    <t xml:space="preserve">Vikas Kale</t>
  </si>
  <si>
    <t xml:space="preserve">Assistant Manager - Production</t>
  </si>
  <si>
    <t xml:space="preserve">vikas.kale@solararenewables.in</t>
  </si>
  <si>
    <t xml:space="preserve">9756783995</t>
  </si>
  <si>
    <t xml:space="preserve">SOL-EMP-0028</t>
  </si>
  <si>
    <t xml:space="preserve">Yash Patil</t>
  </si>
  <si>
    <t xml:space="preserve">Accounts Executive</t>
  </si>
  <si>
    <t xml:space="preserve">yash.patil@solararenewables.in</t>
  </si>
  <si>
    <t xml:space="preserve">9642678844</t>
  </si>
  <si>
    <t xml:space="preserve">SOL-EMP-0029</t>
  </si>
  <si>
    <t xml:space="preserve">Trisha Iyer</t>
  </si>
  <si>
    <t xml:space="preserve">Production Operator</t>
  </si>
  <si>
    <t xml:space="preserve">trisha.iyer@solararenewables.in</t>
  </si>
  <si>
    <t xml:space="preserve">9220123666</t>
  </si>
  <si>
    <t xml:space="preserve">SOL-EMP-0030</t>
  </si>
  <si>
    <t xml:space="preserve">Prashant Shah</t>
  </si>
  <si>
    <t xml:space="preserve">Shift Engineer</t>
  </si>
  <si>
    <t xml:space="preserve">prashant.shah@solararenewables.in</t>
  </si>
  <si>
    <t xml:space="preserve">9766430218</t>
  </si>
  <si>
    <t xml:space="preserve">SOL-EMP-0031</t>
  </si>
  <si>
    <t xml:space="preserve">Deepak Gaikwad</t>
  </si>
  <si>
    <t xml:space="preserve">Territory Sales Manager</t>
  </si>
  <si>
    <t xml:space="preserve">deepak.gaikwad@solararenewables.in</t>
  </si>
  <si>
    <t xml:space="preserve">9510751046</t>
  </si>
  <si>
    <t xml:space="preserve">SOL-EMP-0032</t>
  </si>
  <si>
    <t xml:space="preserve">Ashwin Phadke</t>
  </si>
  <si>
    <t xml:space="preserve">Logistics Executive</t>
  </si>
  <si>
    <t xml:space="preserve">ashwin.phadke@solararenewables.in</t>
  </si>
  <si>
    <t xml:space="preserve">9477040284</t>
  </si>
  <si>
    <t xml:space="preserve">SOL-EMP-0033</t>
  </si>
  <si>
    <t xml:space="preserve">Deepak Iyer</t>
  </si>
  <si>
    <t xml:space="preserve">HR Executive</t>
  </si>
  <si>
    <t xml:space="preserve">deepak.iyer@solararenewables.in</t>
  </si>
  <si>
    <t xml:space="preserve">9513600440</t>
  </si>
  <si>
    <t xml:space="preserve">SOL-EMP-0034</t>
  </si>
  <si>
    <t xml:space="preserve">Sneha More</t>
  </si>
  <si>
    <t xml:space="preserve">sneha.more@solararenewables.in</t>
  </si>
  <si>
    <t xml:space="preserve">9872830248</t>
  </si>
  <si>
    <t xml:space="preserve">SOL-EMP-0035</t>
  </si>
  <si>
    <t xml:space="preserve">Preeti Pillai</t>
  </si>
  <si>
    <t xml:space="preserve">Software Engineer</t>
  </si>
  <si>
    <t xml:space="preserve">preeti.pillai@solararenewables.in</t>
  </si>
  <si>
    <t xml:space="preserve">9688343096</t>
  </si>
  <si>
    <t xml:space="preserve">SOL-EMP-0036</t>
  </si>
  <si>
    <t xml:space="preserve">Prashant Sawant</t>
  </si>
  <si>
    <t xml:space="preserve">prashant.sawant@solararenewables.in</t>
  </si>
  <si>
    <t xml:space="preserve">9807435606</t>
  </si>
  <si>
    <t xml:space="preserve">SOL-EMP-0037</t>
  </si>
  <si>
    <t xml:space="preserve">Mahesh Pillai</t>
  </si>
  <si>
    <t xml:space="preserve">mahesh.pillai@solararenewables.in</t>
  </si>
  <si>
    <t xml:space="preserve">9871318048</t>
  </si>
  <si>
    <t xml:space="preserve">SOL-EMP-0038</t>
  </si>
  <si>
    <t xml:space="preserve">Nitin Kadam</t>
  </si>
  <si>
    <t xml:space="preserve">Assistant Manager - SCM</t>
  </si>
  <si>
    <t xml:space="preserve">nitin.kadam@solararenewables.in</t>
  </si>
  <si>
    <t xml:space="preserve">9230307805</t>
  </si>
  <si>
    <t xml:space="preserve">SOL-EMP-0039</t>
  </si>
  <si>
    <t xml:space="preserve">Vaishnavi Naik</t>
  </si>
  <si>
    <t xml:space="preserve">vaishnavi.naik@solararenewables.in</t>
  </si>
  <si>
    <t xml:space="preserve">9922286180</t>
  </si>
  <si>
    <t xml:space="preserve">SOL-EMP-0040</t>
  </si>
  <si>
    <t xml:space="preserve">Anjali Thackeray</t>
  </si>
  <si>
    <t xml:space="preserve">Key Account Manager</t>
  </si>
  <si>
    <t xml:space="preserve">anjali.thackeray@solararenewables.in</t>
  </si>
  <si>
    <t xml:space="preserve">9168965204</t>
  </si>
  <si>
    <t xml:space="preserve">SOL-EMP-0041</t>
  </si>
  <si>
    <t xml:space="preserve">Rutuja Joshi</t>
  </si>
  <si>
    <t xml:space="preserve">Officer - Payroll</t>
  </si>
  <si>
    <t xml:space="preserve">rutuja.joshi@solararenewables.in</t>
  </si>
  <si>
    <t xml:space="preserve">9677909930</t>
  </si>
  <si>
    <t xml:space="preserve">SOL-EMP-0042</t>
  </si>
  <si>
    <t xml:space="preserve">Rutuja Jadhav</t>
  </si>
  <si>
    <t xml:space="preserve">rutuja.jadhav@solararenewables.in</t>
  </si>
  <si>
    <t xml:space="preserve">9735540030</t>
  </si>
  <si>
    <t xml:space="preserve">SOL-EMP-0043</t>
  </si>
  <si>
    <t xml:space="preserve">Ravi Chavan</t>
  </si>
  <si>
    <t xml:space="preserve">ravi.chavan@solararenewables.in</t>
  </si>
  <si>
    <t xml:space="preserve">9370874491</t>
  </si>
  <si>
    <t xml:space="preserve">Rahul Menon</t>
  </si>
  <si>
    <t xml:space="preserve">rahul.menon@solararenewables.in</t>
  </si>
  <si>
    <t xml:space="preserve">9818825964</t>
  </si>
  <si>
    <t xml:space="preserve">SOL-EMP-0045</t>
  </si>
  <si>
    <t xml:space="preserve">Shruti Bhosale</t>
  </si>
  <si>
    <t xml:space="preserve">shruti.bhosale@solararenewables.in</t>
  </si>
  <si>
    <t xml:space="preserve">9525904456</t>
  </si>
  <si>
    <t xml:space="preserve">Legend:</t>
  </si>
  <si>
    <t xml:space="preserve">Yellow highlight = Resigned or under disciplinary review</t>
  </si>
  <si>
    <t xml:space="preserve">Grades: E1-E4 (Executive band), M1-M2 (Managerial band), L1 (Leadership)</t>
  </si>
  <si>
    <t xml:space="preserve">Source: HR Information System (HRIS) export, prepared by Talent &amp; HR Ops team, Solara Renewables</t>
  </si>
  <si>
    <t xml:space="preserve">Headcount Summary by Department</t>
  </si>
  <si>
    <t xml:space="preserve">Headcount (this extract)</t>
  </si>
  <si>
    <t xml:space="preserve">TOTAL (this extract)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</si>
</sst>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FF2CC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5" min="4" style="0" width="13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26"/>
    <col collapsed="false" customWidth="true" hidden="false" outlineLevel="0" max="11" min="11" style="0" width="20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20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24</v>
      </c>
      <c r="D5" s="5" t="n">
        <v>28628</v>
      </c>
      <c r="E5" s="5" t="n">
        <v>41730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4" t="s">
        <v>34</v>
      </c>
      <c r="P5" s="4" t="n">
        <v>28.9</v>
      </c>
      <c r="Q5" s="4" t="s">
        <v>35</v>
      </c>
      <c r="R5" s="6" t="n">
        <f aca="true">ROUND((TODAY()-E5)/365.25,1)</f>
        <v>12.4</v>
      </c>
      <c r="S5" s="6" t="s">
        <v>36</v>
      </c>
      <c r="T5" s="6" t="s">
        <v>37</v>
      </c>
    </row>
    <row r="6" customFormat="false" ht="15" hidden="false" customHeight="false" outlineLevel="0" collapsed="false">
      <c r="A6" s="7" t="s">
        <v>38</v>
      </c>
      <c r="B6" s="7" t="s">
        <v>39</v>
      </c>
      <c r="C6" s="7" t="s">
        <v>40</v>
      </c>
      <c r="D6" s="8" t="n">
        <v>29838</v>
      </c>
      <c r="E6" s="8" t="n">
        <v>42170</v>
      </c>
      <c r="F6" s="7" t="s">
        <v>41</v>
      </c>
      <c r="G6" s="7" t="s">
        <v>42</v>
      </c>
      <c r="H6" s="7" t="s">
        <v>27</v>
      </c>
      <c r="I6" s="7" t="s">
        <v>28</v>
      </c>
      <c r="J6" s="7" t="s">
        <v>29</v>
      </c>
      <c r="K6" s="7" t="s">
        <v>23</v>
      </c>
      <c r="L6" s="7" t="s">
        <v>43</v>
      </c>
      <c r="M6" s="7" t="s">
        <v>44</v>
      </c>
      <c r="N6" s="7" t="s">
        <v>45</v>
      </c>
      <c r="O6" s="7" t="s">
        <v>34</v>
      </c>
      <c r="P6" s="7" t="n">
        <v>36.3</v>
      </c>
      <c r="Q6" s="7" t="s">
        <v>35</v>
      </c>
      <c r="R6" s="6" t="n">
        <f aca="true">ROUND((TODAY()-E6)/365.25,1)</f>
        <v>11.2</v>
      </c>
      <c r="S6" s="6" t="s">
        <v>36</v>
      </c>
      <c r="T6" s="6" t="s">
        <v>37</v>
      </c>
    </row>
    <row r="7" customFormat="false" ht="15" hidden="false" customHeight="false" outlineLevel="0" collapsed="false">
      <c r="A7" s="4" t="s">
        <v>46</v>
      </c>
      <c r="B7" s="4" t="s">
        <v>47</v>
      </c>
      <c r="C7" s="4" t="s">
        <v>24</v>
      </c>
      <c r="D7" s="5" t="n">
        <v>29191</v>
      </c>
      <c r="E7" s="5" t="n">
        <v>42170</v>
      </c>
      <c r="F7" s="4" t="s">
        <v>48</v>
      </c>
      <c r="G7" s="4" t="s">
        <v>49</v>
      </c>
      <c r="H7" s="4" t="s">
        <v>27</v>
      </c>
      <c r="I7" s="4" t="s">
        <v>28</v>
      </c>
      <c r="J7" s="4" t="s">
        <v>29</v>
      </c>
      <c r="K7" s="4" t="s">
        <v>23</v>
      </c>
      <c r="L7" s="4" t="s">
        <v>50</v>
      </c>
      <c r="M7" s="4" t="s">
        <v>51</v>
      </c>
      <c r="N7" s="4" t="s">
        <v>52</v>
      </c>
      <c r="O7" s="4" t="s">
        <v>34</v>
      </c>
      <c r="P7" s="4" t="n">
        <v>55.4</v>
      </c>
      <c r="Q7" s="4" t="s">
        <v>35</v>
      </c>
      <c r="R7" s="6" t="n">
        <f aca="true">ROUND((TODAY()-E7)/365.25,1)</f>
        <v>11.2</v>
      </c>
      <c r="S7" s="6" t="s">
        <v>36</v>
      </c>
      <c r="T7" s="6" t="s">
        <v>37</v>
      </c>
    </row>
    <row r="8" customFormat="false" ht="15" hidden="false" customHeight="false" outlineLevel="0" collapsed="false">
      <c r="A8" s="7" t="s">
        <v>53</v>
      </c>
      <c r="B8" s="7" t="s">
        <v>54</v>
      </c>
      <c r="C8" s="7" t="s">
        <v>40</v>
      </c>
      <c r="D8" s="8" t="n">
        <v>30341</v>
      </c>
      <c r="E8" s="8" t="n">
        <v>42170</v>
      </c>
      <c r="F8" s="7" t="s">
        <v>55</v>
      </c>
      <c r="G8" s="7" t="s">
        <v>56</v>
      </c>
      <c r="H8" s="7" t="s">
        <v>27</v>
      </c>
      <c r="I8" s="7" t="s">
        <v>28</v>
      </c>
      <c r="J8" s="7" t="s">
        <v>29</v>
      </c>
      <c r="K8" s="7" t="s">
        <v>23</v>
      </c>
      <c r="L8" s="7" t="s">
        <v>57</v>
      </c>
      <c r="M8" s="7" t="s">
        <v>58</v>
      </c>
      <c r="N8" s="7" t="s">
        <v>33</v>
      </c>
      <c r="O8" s="7" t="s">
        <v>34</v>
      </c>
      <c r="P8" s="7" t="n">
        <v>49.8</v>
      </c>
      <c r="Q8" s="7" t="s">
        <v>35</v>
      </c>
      <c r="R8" s="6" t="n">
        <f aca="true">ROUND((TODAY()-E8)/365.25,1)</f>
        <v>11.2</v>
      </c>
      <c r="S8" s="6" t="s">
        <v>36</v>
      </c>
      <c r="T8" s="6" t="s">
        <v>37</v>
      </c>
    </row>
    <row r="9" customFormat="false" ht="15" hidden="false" customHeight="false" outlineLevel="0" collapsed="false">
      <c r="A9" s="4" t="s">
        <v>59</v>
      </c>
      <c r="B9" s="4" t="s">
        <v>60</v>
      </c>
      <c r="C9" s="4" t="s">
        <v>24</v>
      </c>
      <c r="D9" s="5" t="n">
        <v>29524</v>
      </c>
      <c r="E9" s="5" t="n">
        <v>42170</v>
      </c>
      <c r="F9" s="4" t="s">
        <v>61</v>
      </c>
      <c r="G9" s="4" t="s">
        <v>62</v>
      </c>
      <c r="H9" s="4" t="s">
        <v>27</v>
      </c>
      <c r="I9" s="4" t="s">
        <v>28</v>
      </c>
      <c r="J9" s="4" t="s">
        <v>29</v>
      </c>
      <c r="K9" s="4" t="s">
        <v>23</v>
      </c>
      <c r="L9" s="4" t="s">
        <v>63</v>
      </c>
      <c r="M9" s="4" t="s">
        <v>64</v>
      </c>
      <c r="N9" s="4" t="s">
        <v>33</v>
      </c>
      <c r="O9" s="4" t="s">
        <v>34</v>
      </c>
      <c r="P9" s="4" t="n">
        <v>31.5</v>
      </c>
      <c r="Q9" s="4" t="s">
        <v>35</v>
      </c>
      <c r="R9" s="6" t="n">
        <f aca="true">ROUND((TODAY()-E9)/365.25,1)</f>
        <v>11.2</v>
      </c>
      <c r="S9" s="6" t="s">
        <v>36</v>
      </c>
      <c r="T9" s="6" t="s">
        <v>37</v>
      </c>
    </row>
    <row r="10" customFormat="false" ht="15" hidden="false" customHeight="false" outlineLevel="0" collapsed="false">
      <c r="A10" s="7" t="s">
        <v>65</v>
      </c>
      <c r="B10" s="7" t="s">
        <v>66</v>
      </c>
      <c r="C10" s="7" t="s">
        <v>40</v>
      </c>
      <c r="D10" s="8" t="n">
        <v>30053</v>
      </c>
      <c r="E10" s="8" t="n">
        <v>42170</v>
      </c>
      <c r="F10" s="7" t="s">
        <v>67</v>
      </c>
      <c r="G10" s="7" t="s">
        <v>68</v>
      </c>
      <c r="H10" s="7" t="s">
        <v>27</v>
      </c>
      <c r="I10" s="7" t="s">
        <v>28</v>
      </c>
      <c r="J10" s="7" t="s">
        <v>29</v>
      </c>
      <c r="K10" s="7" t="s">
        <v>23</v>
      </c>
      <c r="L10" s="7" t="s">
        <v>69</v>
      </c>
      <c r="M10" s="7" t="s">
        <v>70</v>
      </c>
      <c r="N10" s="7" t="s">
        <v>71</v>
      </c>
      <c r="O10" s="7" t="s">
        <v>34</v>
      </c>
      <c r="P10" s="7" t="n">
        <v>50.3</v>
      </c>
      <c r="Q10" s="7" t="s">
        <v>35</v>
      </c>
      <c r="R10" s="6" t="n">
        <f aca="true">ROUND((TODAY()-E10)/365.25,1)</f>
        <v>11.2</v>
      </c>
      <c r="S10" s="6" t="s">
        <v>36</v>
      </c>
      <c r="T10" s="6" t="s">
        <v>37</v>
      </c>
    </row>
    <row r="11" customFormat="false" ht="15" hidden="false" customHeight="false" outlineLevel="0" collapsed="false">
      <c r="A11" s="4" t="s">
        <v>72</v>
      </c>
      <c r="B11" s="4" t="s">
        <v>73</v>
      </c>
      <c r="C11" s="4" t="s">
        <v>24</v>
      </c>
      <c r="D11" s="5" t="n">
        <v>31266</v>
      </c>
      <c r="E11" s="5" t="n">
        <v>42170</v>
      </c>
      <c r="F11" s="4" t="s">
        <v>74</v>
      </c>
      <c r="G11" s="4" t="s">
        <v>75</v>
      </c>
      <c r="H11" s="4" t="s">
        <v>27</v>
      </c>
      <c r="I11" s="4" t="s">
        <v>28</v>
      </c>
      <c r="J11" s="4" t="s">
        <v>29</v>
      </c>
      <c r="K11" s="4" t="s">
        <v>23</v>
      </c>
      <c r="L11" s="4" t="s">
        <v>76</v>
      </c>
      <c r="M11" s="4" t="s">
        <v>77</v>
      </c>
      <c r="N11" s="4" t="s">
        <v>45</v>
      </c>
      <c r="O11" s="4" t="s">
        <v>34</v>
      </c>
      <c r="P11" s="4" t="n">
        <v>54.5</v>
      </c>
      <c r="Q11" s="4" t="s">
        <v>35</v>
      </c>
      <c r="R11" s="6" t="n">
        <f aca="true">ROUND((TODAY()-E11)/365.25,1)</f>
        <v>11.2</v>
      </c>
      <c r="S11" s="6" t="s">
        <v>36</v>
      </c>
      <c r="T11" s="6" t="s">
        <v>37</v>
      </c>
    </row>
    <row r="12" customFormat="false" ht="15" hidden="false" customHeight="false" outlineLevel="0" collapsed="false">
      <c r="A12" s="7" t="s">
        <v>78</v>
      </c>
      <c r="B12" s="7" t="s">
        <v>79</v>
      </c>
      <c r="C12" s="7" t="s">
        <v>24</v>
      </c>
      <c r="D12" s="8" t="n">
        <v>30726</v>
      </c>
      <c r="E12" s="8" t="n">
        <v>42170</v>
      </c>
      <c r="F12" s="7" t="s">
        <v>80</v>
      </c>
      <c r="G12" s="7" t="s">
        <v>68</v>
      </c>
      <c r="H12" s="7" t="s">
        <v>27</v>
      </c>
      <c r="I12" s="7" t="s">
        <v>28</v>
      </c>
      <c r="J12" s="7" t="s">
        <v>29</v>
      </c>
      <c r="K12" s="7" t="s">
        <v>23</v>
      </c>
      <c r="L12" s="7" t="s">
        <v>81</v>
      </c>
      <c r="M12" s="7" t="s">
        <v>82</v>
      </c>
      <c r="N12" s="7" t="s">
        <v>83</v>
      </c>
      <c r="O12" s="7" t="s">
        <v>34</v>
      </c>
      <c r="P12" s="7" t="n">
        <v>36.2</v>
      </c>
      <c r="Q12" s="7" t="s">
        <v>35</v>
      </c>
      <c r="R12" s="6" t="n">
        <f aca="true">ROUND((TODAY()-E12)/365.25,1)</f>
        <v>11.2</v>
      </c>
      <c r="S12" s="6" t="s">
        <v>36</v>
      </c>
      <c r="T12" s="6" t="s">
        <v>37</v>
      </c>
    </row>
    <row r="13" customFormat="false" ht="15" hidden="false" customHeight="false" outlineLevel="0" collapsed="false">
      <c r="A13" s="4" t="s">
        <v>84</v>
      </c>
      <c r="B13" s="4" t="s">
        <v>85</v>
      </c>
      <c r="C13" s="4" t="s">
        <v>40</v>
      </c>
      <c r="D13" s="5" t="n">
        <v>32315</v>
      </c>
      <c r="E13" s="5" t="n">
        <v>42170</v>
      </c>
      <c r="F13" s="4" t="s">
        <v>86</v>
      </c>
      <c r="G13" s="4" t="s">
        <v>68</v>
      </c>
      <c r="H13" s="4" t="s">
        <v>27</v>
      </c>
      <c r="I13" s="4" t="s">
        <v>28</v>
      </c>
      <c r="J13" s="4" t="s">
        <v>29</v>
      </c>
      <c r="K13" s="4" t="s">
        <v>23</v>
      </c>
      <c r="L13" s="4" t="s">
        <v>87</v>
      </c>
      <c r="M13" s="4" t="s">
        <v>88</v>
      </c>
      <c r="N13" s="4" t="s">
        <v>89</v>
      </c>
      <c r="O13" s="4" t="s">
        <v>34</v>
      </c>
      <c r="P13" s="4" t="n">
        <v>57.9</v>
      </c>
      <c r="Q13" s="4" t="s">
        <v>35</v>
      </c>
      <c r="R13" s="6" t="n">
        <f aca="true">ROUND((TODAY()-E13)/365.25,1)</f>
        <v>11.2</v>
      </c>
      <c r="S13" s="6" t="s">
        <v>36</v>
      </c>
      <c r="T13" s="6" t="s">
        <v>37</v>
      </c>
    </row>
    <row r="14" customFormat="false" ht="15" hidden="false" customHeight="false" outlineLevel="0" collapsed="false">
      <c r="A14" s="7" t="s">
        <v>90</v>
      </c>
      <c r="B14" s="7" t="s">
        <v>91</v>
      </c>
      <c r="C14" s="7" t="s">
        <v>40</v>
      </c>
      <c r="D14" s="8" t="n">
        <v>32935</v>
      </c>
      <c r="E14" s="8" t="n">
        <v>42170</v>
      </c>
      <c r="F14" s="7" t="s">
        <v>92</v>
      </c>
      <c r="G14" s="7" t="s">
        <v>68</v>
      </c>
      <c r="H14" s="7" t="s">
        <v>27</v>
      </c>
      <c r="I14" s="7" t="s">
        <v>28</v>
      </c>
      <c r="J14" s="7" t="s">
        <v>29</v>
      </c>
      <c r="K14" s="7" t="s">
        <v>23</v>
      </c>
      <c r="L14" s="7" t="s">
        <v>93</v>
      </c>
      <c r="M14" s="7" t="s">
        <v>94</v>
      </c>
      <c r="N14" s="7" t="s">
        <v>95</v>
      </c>
      <c r="O14" s="7" t="s">
        <v>34</v>
      </c>
      <c r="P14" s="7" t="n">
        <v>57.8</v>
      </c>
      <c r="Q14" s="7" t="s">
        <v>35</v>
      </c>
      <c r="R14" s="6" t="n">
        <f aca="true">ROUND((TODAY()-E14)/365.25,1)</f>
        <v>11.2</v>
      </c>
      <c r="S14" s="6" t="s">
        <v>36</v>
      </c>
      <c r="T14" s="6" t="s">
        <v>37</v>
      </c>
    </row>
    <row r="15" customFormat="false" ht="15" hidden="false" customHeight="false" outlineLevel="0" collapsed="false">
      <c r="A15" s="4" t="s">
        <v>96</v>
      </c>
      <c r="B15" s="4" t="s">
        <v>97</v>
      </c>
      <c r="C15" s="4" t="s">
        <v>40</v>
      </c>
      <c r="D15" s="5" t="n">
        <v>29175</v>
      </c>
      <c r="E15" s="5" t="n">
        <v>42170</v>
      </c>
      <c r="F15" s="4" t="s">
        <v>98</v>
      </c>
      <c r="G15" s="4" t="s">
        <v>99</v>
      </c>
      <c r="H15" s="4" t="s">
        <v>27</v>
      </c>
      <c r="I15" s="4" t="s">
        <v>28</v>
      </c>
      <c r="J15" s="4" t="s">
        <v>29</v>
      </c>
      <c r="K15" s="4" t="s">
        <v>23</v>
      </c>
      <c r="L15" s="4" t="s">
        <v>100</v>
      </c>
      <c r="M15" s="4" t="s">
        <v>101</v>
      </c>
      <c r="N15" s="4" t="s">
        <v>89</v>
      </c>
      <c r="O15" s="4" t="s">
        <v>34</v>
      </c>
      <c r="P15" s="4" t="n">
        <v>38.3</v>
      </c>
      <c r="Q15" s="4" t="s">
        <v>35</v>
      </c>
      <c r="R15" s="6" t="n">
        <f aca="true">ROUND((TODAY()-E15)/365.25,1)</f>
        <v>11.2</v>
      </c>
      <c r="S15" s="6" t="s">
        <v>36</v>
      </c>
      <c r="T15" s="6" t="s">
        <v>37</v>
      </c>
    </row>
    <row r="16" customFormat="false" ht="15" hidden="false" customHeight="false" outlineLevel="0" collapsed="false">
      <c r="A16" s="7" t="s">
        <v>102</v>
      </c>
      <c r="B16" s="7" t="s">
        <v>103</v>
      </c>
      <c r="C16" s="7" t="s">
        <v>24</v>
      </c>
      <c r="D16" s="8" t="n">
        <v>29795</v>
      </c>
      <c r="E16" s="8" t="n">
        <v>42170</v>
      </c>
      <c r="F16" s="7" t="s">
        <v>104</v>
      </c>
      <c r="G16" s="7" t="s">
        <v>105</v>
      </c>
      <c r="H16" s="7" t="s">
        <v>27</v>
      </c>
      <c r="I16" s="7" t="s">
        <v>28</v>
      </c>
      <c r="J16" s="7" t="s">
        <v>29</v>
      </c>
      <c r="K16" s="7" t="s">
        <v>23</v>
      </c>
      <c r="L16" s="7" t="s">
        <v>106</v>
      </c>
      <c r="M16" s="7" t="s">
        <v>107</v>
      </c>
      <c r="N16" s="7" t="s">
        <v>95</v>
      </c>
      <c r="O16" s="7" t="s">
        <v>34</v>
      </c>
      <c r="P16" s="7" t="n">
        <v>40.5</v>
      </c>
      <c r="Q16" s="7" t="s">
        <v>35</v>
      </c>
      <c r="R16" s="6" t="n">
        <f aca="true">ROUND((TODAY()-E16)/365.25,1)</f>
        <v>11.2</v>
      </c>
      <c r="S16" s="6" t="s">
        <v>36</v>
      </c>
      <c r="T16" s="6" t="s">
        <v>37</v>
      </c>
    </row>
    <row r="17" customFormat="false" ht="15" hidden="false" customHeight="false" outlineLevel="0" collapsed="false">
      <c r="A17" s="4" t="s">
        <v>108</v>
      </c>
      <c r="B17" s="4" t="s">
        <v>109</v>
      </c>
      <c r="C17" s="4" t="s">
        <v>40</v>
      </c>
      <c r="D17" s="5" t="n">
        <v>35099</v>
      </c>
      <c r="E17" s="5" t="n">
        <v>46280</v>
      </c>
      <c r="F17" s="4" t="s">
        <v>110</v>
      </c>
      <c r="G17" s="4" t="s">
        <v>56</v>
      </c>
      <c r="H17" s="4" t="s">
        <v>111</v>
      </c>
      <c r="I17" s="4" t="s">
        <v>28</v>
      </c>
      <c r="J17" s="4" t="s">
        <v>29</v>
      </c>
      <c r="K17" s="4" t="s">
        <v>54</v>
      </c>
      <c r="L17" s="4" t="s">
        <v>112</v>
      </c>
      <c r="M17" s="4" t="s">
        <v>113</v>
      </c>
      <c r="N17" s="4" t="s">
        <v>45</v>
      </c>
      <c r="O17" s="4" t="s">
        <v>114</v>
      </c>
      <c r="P17" s="4" t="n">
        <v>14.4</v>
      </c>
      <c r="Q17" s="4" t="s">
        <v>35</v>
      </c>
      <c r="R17" s="6" t="n">
        <f aca="true">ROUND((TODAY()-E17)/365.25,1)</f>
        <v>-0</v>
      </c>
      <c r="S17" s="6" t="s">
        <v>36</v>
      </c>
      <c r="T17" s="6" t="s">
        <v>37</v>
      </c>
    </row>
    <row r="18" customFormat="false" ht="15" hidden="false" customHeight="false" outlineLevel="0" collapsed="false">
      <c r="A18" s="7" t="s">
        <v>115</v>
      </c>
      <c r="B18" s="7" t="s">
        <v>116</v>
      </c>
      <c r="C18" s="7" t="s">
        <v>40</v>
      </c>
      <c r="D18" s="8" t="n">
        <v>34657</v>
      </c>
      <c r="E18" s="8" t="n">
        <v>44715</v>
      </c>
      <c r="F18" s="7" t="s">
        <v>117</v>
      </c>
      <c r="G18" s="7" t="s">
        <v>99</v>
      </c>
      <c r="H18" s="7" t="s">
        <v>118</v>
      </c>
      <c r="I18" s="7" t="s">
        <v>28</v>
      </c>
      <c r="J18" s="7" t="s">
        <v>119</v>
      </c>
      <c r="K18" s="7" t="s">
        <v>97</v>
      </c>
      <c r="L18" s="7" t="s">
        <v>120</v>
      </c>
      <c r="M18" s="7" t="s">
        <v>121</v>
      </c>
      <c r="N18" s="7" t="s">
        <v>89</v>
      </c>
      <c r="O18" s="7" t="s">
        <v>34</v>
      </c>
      <c r="P18" s="7" t="n">
        <v>9.6</v>
      </c>
      <c r="Q18" s="7" t="s">
        <v>35</v>
      </c>
      <c r="R18" s="6" t="n">
        <f aca="true">ROUND((TODAY()-E18)/365.25,1)</f>
        <v>4.2</v>
      </c>
      <c r="S18" s="6" t="s">
        <v>36</v>
      </c>
      <c r="T18" s="6" t="s">
        <v>37</v>
      </c>
    </row>
    <row r="19" customFormat="false" ht="15" hidden="false" customHeight="false" outlineLevel="0" collapsed="false">
      <c r="A19" s="9" t="s">
        <v>122</v>
      </c>
      <c r="B19" s="9" t="s">
        <v>123</v>
      </c>
      <c r="C19" s="9" t="s">
        <v>24</v>
      </c>
      <c r="D19" s="10" t="n">
        <v>33812</v>
      </c>
      <c r="E19" s="10" t="n">
        <v>44207</v>
      </c>
      <c r="F19" s="9" t="s">
        <v>124</v>
      </c>
      <c r="G19" s="9" t="s">
        <v>49</v>
      </c>
      <c r="H19" s="9" t="s">
        <v>125</v>
      </c>
      <c r="I19" s="9" t="s">
        <v>28</v>
      </c>
      <c r="J19" s="9" t="s">
        <v>119</v>
      </c>
      <c r="K19" s="9" t="s">
        <v>47</v>
      </c>
      <c r="L19" s="9" t="s">
        <v>126</v>
      </c>
      <c r="M19" s="9" t="s">
        <v>127</v>
      </c>
      <c r="N19" s="9" t="s">
        <v>33</v>
      </c>
      <c r="O19" s="9" t="s">
        <v>34</v>
      </c>
      <c r="P19" s="9" t="n">
        <v>6.8</v>
      </c>
      <c r="Q19" s="9" t="s">
        <v>128</v>
      </c>
      <c r="R19" s="11" t="n">
        <f aca="true">ROUND((TODAY()-E19)/365.25,1)</f>
        <v>5.6</v>
      </c>
      <c r="S19" s="11" t="s">
        <v>36</v>
      </c>
      <c r="T19" s="11" t="s">
        <v>36</v>
      </c>
    </row>
    <row r="20" customFormat="false" ht="15" hidden="false" customHeight="false" outlineLevel="0" collapsed="false">
      <c r="A20" s="9" t="s">
        <v>129</v>
      </c>
      <c r="B20" s="9" t="s">
        <v>130</v>
      </c>
      <c r="C20" s="9" t="s">
        <v>24</v>
      </c>
      <c r="D20" s="10" t="n">
        <v>32946</v>
      </c>
      <c r="E20" s="10" t="n">
        <v>43699</v>
      </c>
      <c r="F20" s="9" t="s">
        <v>131</v>
      </c>
      <c r="G20" s="9" t="s">
        <v>105</v>
      </c>
      <c r="H20" s="9" t="s">
        <v>132</v>
      </c>
      <c r="I20" s="9" t="s">
        <v>28</v>
      </c>
      <c r="J20" s="9" t="s">
        <v>119</v>
      </c>
      <c r="K20" s="9" t="s">
        <v>103</v>
      </c>
      <c r="L20" s="9" t="s">
        <v>133</v>
      </c>
      <c r="M20" s="9" t="s">
        <v>134</v>
      </c>
      <c r="N20" s="9" t="s">
        <v>83</v>
      </c>
      <c r="O20" s="9" t="s">
        <v>34</v>
      </c>
      <c r="P20" s="9" t="n">
        <v>8.2</v>
      </c>
      <c r="Q20" s="9" t="s">
        <v>135</v>
      </c>
      <c r="R20" s="11" t="n">
        <f aca="true">ROUND((TODAY()-E20)/365.25,1)</f>
        <v>7</v>
      </c>
      <c r="S20" s="11" t="s">
        <v>36</v>
      </c>
      <c r="T20" s="11" t="s">
        <v>37</v>
      </c>
    </row>
    <row r="21" customFormat="false" ht="15" hidden="false" customHeight="false" outlineLevel="0" collapsed="false">
      <c r="A21" s="4" t="s">
        <v>136</v>
      </c>
      <c r="B21" s="4" t="s">
        <v>137</v>
      </c>
      <c r="C21" s="4" t="s">
        <v>24</v>
      </c>
      <c r="D21" s="5" t="n">
        <v>31761</v>
      </c>
      <c r="E21" s="5" t="n">
        <v>44113</v>
      </c>
      <c r="F21" s="4" t="s">
        <v>138</v>
      </c>
      <c r="G21" s="4" t="s">
        <v>99</v>
      </c>
      <c r="H21" s="4" t="s">
        <v>118</v>
      </c>
      <c r="I21" s="4" t="s">
        <v>28</v>
      </c>
      <c r="J21" s="4" t="s">
        <v>139</v>
      </c>
      <c r="K21" s="4" t="s">
        <v>97</v>
      </c>
      <c r="L21" s="4" t="s">
        <v>140</v>
      </c>
      <c r="M21" s="4" t="s">
        <v>141</v>
      </c>
      <c r="N21" s="4" t="s">
        <v>52</v>
      </c>
      <c r="O21" s="4" t="s">
        <v>34</v>
      </c>
      <c r="P21" s="4" t="n">
        <v>4.9</v>
      </c>
      <c r="Q21" s="4" t="s">
        <v>35</v>
      </c>
      <c r="R21" s="6" t="n">
        <f aca="true">ROUND((TODAY()-E21)/365.25,1)</f>
        <v>5.9</v>
      </c>
      <c r="S21" s="6" t="s">
        <v>36</v>
      </c>
      <c r="T21" s="6" t="s">
        <v>36</v>
      </c>
    </row>
    <row r="22" customFormat="false" ht="15" hidden="false" customHeight="false" outlineLevel="0" collapsed="false">
      <c r="A22" s="7" t="s">
        <v>142</v>
      </c>
      <c r="B22" s="7" t="s">
        <v>143</v>
      </c>
      <c r="C22" s="7" t="s">
        <v>24</v>
      </c>
      <c r="D22" s="8" t="n">
        <v>33647</v>
      </c>
      <c r="E22" s="8" t="n">
        <v>43524</v>
      </c>
      <c r="F22" s="7" t="s">
        <v>144</v>
      </c>
      <c r="G22" s="7" t="s">
        <v>62</v>
      </c>
      <c r="H22" s="7" t="s">
        <v>125</v>
      </c>
      <c r="I22" s="7" t="s">
        <v>28</v>
      </c>
      <c r="J22" s="7" t="s">
        <v>29</v>
      </c>
      <c r="K22" s="7" t="s">
        <v>60</v>
      </c>
      <c r="L22" s="7" t="s">
        <v>145</v>
      </c>
      <c r="M22" s="7" t="s">
        <v>146</v>
      </c>
      <c r="N22" s="7" t="s">
        <v>52</v>
      </c>
      <c r="O22" s="7" t="s">
        <v>34</v>
      </c>
      <c r="P22" s="7" t="n">
        <v>9.2</v>
      </c>
      <c r="Q22" s="7" t="s">
        <v>35</v>
      </c>
      <c r="R22" s="6" t="n">
        <f aca="true">ROUND((TODAY()-E22)/365.25,1)</f>
        <v>7.5</v>
      </c>
      <c r="S22" s="6" t="s">
        <v>36</v>
      </c>
      <c r="T22" s="6" t="s">
        <v>37</v>
      </c>
    </row>
    <row r="23" customFormat="false" ht="15" hidden="false" customHeight="false" outlineLevel="0" collapsed="false">
      <c r="A23" s="4" t="s">
        <v>147</v>
      </c>
      <c r="B23" s="4" t="s">
        <v>148</v>
      </c>
      <c r="C23" s="4" t="s">
        <v>24</v>
      </c>
      <c r="D23" s="5" t="n">
        <v>33919</v>
      </c>
      <c r="E23" s="5" t="n">
        <v>44337</v>
      </c>
      <c r="F23" s="4" t="s">
        <v>149</v>
      </c>
      <c r="G23" s="4" t="s">
        <v>99</v>
      </c>
      <c r="H23" s="4" t="s">
        <v>150</v>
      </c>
      <c r="I23" s="4" t="s">
        <v>28</v>
      </c>
      <c r="J23" s="4" t="s">
        <v>139</v>
      </c>
      <c r="K23" s="4" t="s">
        <v>97</v>
      </c>
      <c r="L23" s="4" t="s">
        <v>151</v>
      </c>
      <c r="M23" s="4" t="s">
        <v>152</v>
      </c>
      <c r="N23" s="4" t="s">
        <v>45</v>
      </c>
      <c r="O23" s="4" t="s">
        <v>34</v>
      </c>
      <c r="P23" s="4" t="n">
        <v>6.2</v>
      </c>
      <c r="Q23" s="4" t="s">
        <v>35</v>
      </c>
      <c r="R23" s="6" t="n">
        <f aca="true">ROUND((TODAY()-E23)/365.25,1)</f>
        <v>5.3</v>
      </c>
      <c r="S23" s="6" t="s">
        <v>36</v>
      </c>
      <c r="T23" s="6" t="s">
        <v>36</v>
      </c>
    </row>
    <row r="24" customFormat="false" ht="15" hidden="false" customHeight="false" outlineLevel="0" collapsed="false">
      <c r="A24" s="7" t="s">
        <v>153</v>
      </c>
      <c r="B24" s="7" t="s">
        <v>154</v>
      </c>
      <c r="C24" s="7" t="s">
        <v>40</v>
      </c>
      <c r="D24" s="8" t="n">
        <v>34036</v>
      </c>
      <c r="E24" s="8" t="n">
        <v>45874</v>
      </c>
      <c r="F24" s="7" t="s">
        <v>155</v>
      </c>
      <c r="G24" s="7" t="s">
        <v>62</v>
      </c>
      <c r="H24" s="7" t="s">
        <v>111</v>
      </c>
      <c r="I24" s="7" t="s">
        <v>28</v>
      </c>
      <c r="J24" s="7" t="s">
        <v>156</v>
      </c>
      <c r="K24" s="7" t="s">
        <v>60</v>
      </c>
      <c r="L24" s="7" t="s">
        <v>157</v>
      </c>
      <c r="M24" s="7" t="s">
        <v>158</v>
      </c>
      <c r="N24" s="7" t="s">
        <v>45</v>
      </c>
      <c r="O24" s="7" t="s">
        <v>34</v>
      </c>
      <c r="P24" s="7" t="n">
        <v>10.7</v>
      </c>
      <c r="Q24" s="7" t="s">
        <v>35</v>
      </c>
      <c r="R24" s="6" t="n">
        <f aca="true">ROUND((TODAY()-E24)/365.25,1)</f>
        <v>1.1</v>
      </c>
      <c r="S24" s="6" t="s">
        <v>36</v>
      </c>
      <c r="T24" s="6" t="s">
        <v>37</v>
      </c>
    </row>
    <row r="25" customFormat="false" ht="15" hidden="false" customHeight="false" outlineLevel="0" collapsed="false">
      <c r="A25" s="9" t="s">
        <v>159</v>
      </c>
      <c r="B25" s="9" t="s">
        <v>160</v>
      </c>
      <c r="C25" s="9" t="s">
        <v>24</v>
      </c>
      <c r="D25" s="10" t="n">
        <v>36071</v>
      </c>
      <c r="E25" s="10" t="n">
        <v>43045</v>
      </c>
      <c r="F25" s="9" t="s">
        <v>161</v>
      </c>
      <c r="G25" s="9" t="s">
        <v>105</v>
      </c>
      <c r="H25" s="9" t="s">
        <v>132</v>
      </c>
      <c r="I25" s="9" t="s">
        <v>28</v>
      </c>
      <c r="J25" s="9" t="s">
        <v>119</v>
      </c>
      <c r="K25" s="9" t="s">
        <v>103</v>
      </c>
      <c r="L25" s="9" t="s">
        <v>162</v>
      </c>
      <c r="M25" s="9" t="s">
        <v>163</v>
      </c>
      <c r="N25" s="9" t="s">
        <v>52</v>
      </c>
      <c r="O25" s="9" t="s">
        <v>114</v>
      </c>
      <c r="P25" s="9" t="n">
        <v>8.3</v>
      </c>
      <c r="Q25" s="9" t="s">
        <v>164</v>
      </c>
      <c r="R25" s="11" t="n">
        <f aca="true">ROUND((TODAY()-E25)/365.25,1)</f>
        <v>8.8</v>
      </c>
      <c r="S25" s="11" t="s">
        <v>36</v>
      </c>
      <c r="T25" s="11" t="s">
        <v>36</v>
      </c>
    </row>
    <row r="26" customFormat="false" ht="15" hidden="false" customHeight="false" outlineLevel="0" collapsed="false">
      <c r="A26" s="7" t="s">
        <v>165</v>
      </c>
      <c r="B26" s="7" t="s">
        <v>166</v>
      </c>
      <c r="C26" s="7" t="s">
        <v>24</v>
      </c>
      <c r="D26" s="8" t="n">
        <v>34237</v>
      </c>
      <c r="E26" s="8" t="n">
        <v>42948</v>
      </c>
      <c r="F26" s="7" t="s">
        <v>167</v>
      </c>
      <c r="G26" s="7" t="s">
        <v>42</v>
      </c>
      <c r="H26" s="7" t="s">
        <v>168</v>
      </c>
      <c r="I26" s="7" t="s">
        <v>28</v>
      </c>
      <c r="J26" s="7" t="s">
        <v>139</v>
      </c>
      <c r="K26" s="7" t="s">
        <v>39</v>
      </c>
      <c r="L26" s="7" t="s">
        <v>169</v>
      </c>
      <c r="M26" s="7" t="s">
        <v>170</v>
      </c>
      <c r="N26" s="7" t="s">
        <v>89</v>
      </c>
      <c r="O26" s="7" t="s">
        <v>34</v>
      </c>
      <c r="P26" s="7" t="n">
        <v>10</v>
      </c>
      <c r="Q26" s="7" t="s">
        <v>35</v>
      </c>
      <c r="R26" s="6" t="n">
        <f aca="true">ROUND((TODAY()-E26)/365.25,1)</f>
        <v>9.1</v>
      </c>
      <c r="S26" s="6" t="s">
        <v>36</v>
      </c>
      <c r="T26" s="6" t="s">
        <v>37</v>
      </c>
    </row>
    <row r="27" customFormat="false" ht="15" hidden="false" customHeight="false" outlineLevel="0" collapsed="false">
      <c r="A27" s="4" t="s">
        <v>171</v>
      </c>
      <c r="B27" s="4" t="s">
        <v>172</v>
      </c>
      <c r="C27" s="4" t="s">
        <v>40</v>
      </c>
      <c r="D27" s="5" t="n">
        <v>34426</v>
      </c>
      <c r="E27" s="5" t="n">
        <v>42548</v>
      </c>
      <c r="F27" s="4" t="s">
        <v>173</v>
      </c>
      <c r="G27" s="4" t="s">
        <v>49</v>
      </c>
      <c r="H27" s="4" t="s">
        <v>168</v>
      </c>
      <c r="I27" s="4" t="s">
        <v>28</v>
      </c>
      <c r="J27" s="4" t="s">
        <v>139</v>
      </c>
      <c r="K27" s="4" t="s">
        <v>47</v>
      </c>
      <c r="L27" s="4" t="s">
        <v>174</v>
      </c>
      <c r="M27" s="4" t="s">
        <v>175</v>
      </c>
      <c r="N27" s="4" t="s">
        <v>33</v>
      </c>
      <c r="O27" s="4" t="s">
        <v>34</v>
      </c>
      <c r="P27" s="4" t="n">
        <v>14.9</v>
      </c>
      <c r="Q27" s="4" t="s">
        <v>176</v>
      </c>
      <c r="R27" s="6" t="n">
        <f aca="true">ROUND((TODAY()-E27)/365.25,1)</f>
        <v>10.2</v>
      </c>
      <c r="S27" s="6" t="s">
        <v>36</v>
      </c>
      <c r="T27" s="6" t="s">
        <v>37</v>
      </c>
    </row>
    <row r="28" customFormat="false" ht="15" hidden="false" customHeight="false" outlineLevel="0" collapsed="false">
      <c r="A28" s="7" t="s">
        <v>177</v>
      </c>
      <c r="B28" s="7" t="s">
        <v>178</v>
      </c>
      <c r="C28" s="7" t="s">
        <v>24</v>
      </c>
      <c r="D28" s="8" t="n">
        <v>33582</v>
      </c>
      <c r="E28" s="8" t="n">
        <v>45480</v>
      </c>
      <c r="F28" s="7" t="s">
        <v>179</v>
      </c>
      <c r="G28" s="7" t="s">
        <v>56</v>
      </c>
      <c r="H28" s="7" t="s">
        <v>132</v>
      </c>
      <c r="I28" s="7" t="s">
        <v>28</v>
      </c>
      <c r="J28" s="7" t="s">
        <v>156</v>
      </c>
      <c r="K28" s="7" t="s">
        <v>54</v>
      </c>
      <c r="L28" s="7" t="s">
        <v>180</v>
      </c>
      <c r="M28" s="7" t="s">
        <v>181</v>
      </c>
      <c r="N28" s="7" t="s">
        <v>45</v>
      </c>
      <c r="O28" s="7" t="s">
        <v>34</v>
      </c>
      <c r="P28" s="7" t="n">
        <v>16.4</v>
      </c>
      <c r="Q28" s="7" t="s">
        <v>35</v>
      </c>
      <c r="R28" s="6" t="n">
        <f aca="true">ROUND((TODAY()-E28)/365.25,1)</f>
        <v>2.2</v>
      </c>
      <c r="S28" s="6" t="s">
        <v>36</v>
      </c>
      <c r="T28" s="6" t="s">
        <v>37</v>
      </c>
    </row>
    <row r="29" customFormat="false" ht="15" hidden="false" customHeight="false" outlineLevel="0" collapsed="false">
      <c r="A29" s="4" t="s">
        <v>182</v>
      </c>
      <c r="B29" s="4" t="s">
        <v>183</v>
      </c>
      <c r="C29" s="4" t="s">
        <v>24</v>
      </c>
      <c r="D29" s="5" t="n">
        <v>31101</v>
      </c>
      <c r="E29" s="5" t="n">
        <v>43381</v>
      </c>
      <c r="F29" s="4" t="s">
        <v>117</v>
      </c>
      <c r="G29" s="4" t="s">
        <v>99</v>
      </c>
      <c r="H29" s="4" t="s">
        <v>111</v>
      </c>
      <c r="I29" s="4" t="s">
        <v>28</v>
      </c>
      <c r="J29" s="4" t="s">
        <v>139</v>
      </c>
      <c r="K29" s="4" t="s">
        <v>97</v>
      </c>
      <c r="L29" s="4" t="s">
        <v>184</v>
      </c>
      <c r="M29" s="4" t="s">
        <v>185</v>
      </c>
      <c r="N29" s="4" t="s">
        <v>71</v>
      </c>
      <c r="O29" s="4" t="s">
        <v>34</v>
      </c>
      <c r="P29" s="4" t="n">
        <v>4</v>
      </c>
      <c r="Q29" s="4" t="s">
        <v>35</v>
      </c>
      <c r="R29" s="6" t="n">
        <f aca="true">ROUND((TODAY()-E29)/365.25,1)</f>
        <v>7.9</v>
      </c>
      <c r="S29" s="6" t="s">
        <v>36</v>
      </c>
      <c r="T29" s="6" t="s">
        <v>36</v>
      </c>
    </row>
    <row r="30" customFormat="false" ht="15" hidden="false" customHeight="false" outlineLevel="0" collapsed="false">
      <c r="A30" s="7" t="s">
        <v>186</v>
      </c>
      <c r="B30" s="7" t="s">
        <v>187</v>
      </c>
      <c r="C30" s="7" t="s">
        <v>24</v>
      </c>
      <c r="D30" s="8" t="n">
        <v>36642</v>
      </c>
      <c r="E30" s="8" t="n">
        <v>46314</v>
      </c>
      <c r="F30" s="7" t="s">
        <v>188</v>
      </c>
      <c r="G30" s="7" t="s">
        <v>42</v>
      </c>
      <c r="H30" s="7" t="s">
        <v>132</v>
      </c>
      <c r="I30" s="7" t="s">
        <v>28</v>
      </c>
      <c r="J30" s="7" t="s">
        <v>156</v>
      </c>
      <c r="K30" s="7" t="s">
        <v>39</v>
      </c>
      <c r="L30" s="7" t="s">
        <v>189</v>
      </c>
      <c r="M30" s="7" t="s">
        <v>190</v>
      </c>
      <c r="N30" s="7" t="s">
        <v>83</v>
      </c>
      <c r="O30" s="7" t="s">
        <v>114</v>
      </c>
      <c r="P30" s="7" t="n">
        <v>13.9</v>
      </c>
      <c r="Q30" s="7" t="s">
        <v>35</v>
      </c>
      <c r="R30" s="6" t="n">
        <f aca="true">ROUND((TODAY()-E30)/365.25,1)</f>
        <v>-0.1</v>
      </c>
      <c r="S30" s="6" t="s">
        <v>36</v>
      </c>
      <c r="T30" s="6" t="s">
        <v>37</v>
      </c>
    </row>
    <row r="31" customFormat="false" ht="15" hidden="false" customHeight="false" outlineLevel="0" collapsed="false">
      <c r="A31" s="4" t="s">
        <v>191</v>
      </c>
      <c r="B31" s="4" t="s">
        <v>192</v>
      </c>
      <c r="C31" s="4" t="s">
        <v>24</v>
      </c>
      <c r="D31" s="5" t="n">
        <v>32240</v>
      </c>
      <c r="E31" s="5" t="n">
        <v>46199</v>
      </c>
      <c r="F31" s="4" t="s">
        <v>161</v>
      </c>
      <c r="G31" s="4" t="s">
        <v>105</v>
      </c>
      <c r="H31" s="4" t="s">
        <v>168</v>
      </c>
      <c r="I31" s="4" t="s">
        <v>28</v>
      </c>
      <c r="J31" s="4" t="s">
        <v>156</v>
      </c>
      <c r="K31" s="4" t="s">
        <v>103</v>
      </c>
      <c r="L31" s="4" t="s">
        <v>193</v>
      </c>
      <c r="M31" s="4" t="s">
        <v>194</v>
      </c>
      <c r="N31" s="4" t="s">
        <v>95</v>
      </c>
      <c r="O31" s="4" t="s">
        <v>114</v>
      </c>
      <c r="P31" s="4" t="n">
        <v>10.3</v>
      </c>
      <c r="Q31" s="4" t="s">
        <v>35</v>
      </c>
      <c r="R31" s="6" t="n">
        <f aca="true">ROUND((TODAY()-E31)/365.25,1)</f>
        <v>0.2</v>
      </c>
      <c r="S31" s="6" t="s">
        <v>36</v>
      </c>
      <c r="T31" s="6" t="s">
        <v>37</v>
      </c>
    </row>
    <row r="32" customFormat="false" ht="15" hidden="false" customHeight="false" outlineLevel="0" collapsed="false">
      <c r="A32" s="7" t="s">
        <v>195</v>
      </c>
      <c r="B32" s="7" t="s">
        <v>196</v>
      </c>
      <c r="C32" s="7" t="s">
        <v>24</v>
      </c>
      <c r="D32" s="8" t="n">
        <v>33677</v>
      </c>
      <c r="E32" s="8" t="n">
        <v>42060</v>
      </c>
      <c r="F32" s="7" t="s">
        <v>161</v>
      </c>
      <c r="G32" s="7" t="s">
        <v>105</v>
      </c>
      <c r="H32" s="7" t="s">
        <v>132</v>
      </c>
      <c r="I32" s="7" t="s">
        <v>197</v>
      </c>
      <c r="J32" s="7" t="s">
        <v>139</v>
      </c>
      <c r="K32" s="7" t="s">
        <v>103</v>
      </c>
      <c r="L32" s="7" t="s">
        <v>198</v>
      </c>
      <c r="M32" s="7" t="s">
        <v>199</v>
      </c>
      <c r="N32" s="7" t="s">
        <v>33</v>
      </c>
      <c r="O32" s="7" t="s">
        <v>114</v>
      </c>
      <c r="P32" s="7" t="n">
        <v>9.6</v>
      </c>
      <c r="Q32" s="7" t="s">
        <v>35</v>
      </c>
      <c r="R32" s="6" t="n">
        <f aca="true">ROUND((TODAY()-E32)/365.25,1)</f>
        <v>11.5</v>
      </c>
      <c r="S32" s="6" t="s">
        <v>36</v>
      </c>
      <c r="T32" s="6" t="s">
        <v>37</v>
      </c>
    </row>
    <row r="33" customFormat="false" ht="15" hidden="false" customHeight="false" outlineLevel="0" collapsed="false">
      <c r="A33" s="4" t="s">
        <v>200</v>
      </c>
      <c r="B33" s="4" t="s">
        <v>201</v>
      </c>
      <c r="C33" s="4" t="s">
        <v>40</v>
      </c>
      <c r="D33" s="5" t="n">
        <v>36592</v>
      </c>
      <c r="E33" s="5" t="n">
        <v>46287</v>
      </c>
      <c r="F33" s="4" t="s">
        <v>188</v>
      </c>
      <c r="G33" s="4" t="s">
        <v>42</v>
      </c>
      <c r="H33" s="4" t="s">
        <v>125</v>
      </c>
      <c r="I33" s="4" t="s">
        <v>28</v>
      </c>
      <c r="J33" s="4" t="s">
        <v>119</v>
      </c>
      <c r="K33" s="4" t="s">
        <v>39</v>
      </c>
      <c r="L33" s="4" t="s">
        <v>202</v>
      </c>
      <c r="M33" s="4" t="s">
        <v>203</v>
      </c>
      <c r="N33" s="4" t="s">
        <v>89</v>
      </c>
      <c r="O33" s="4" t="s">
        <v>114</v>
      </c>
      <c r="P33" s="4" t="n">
        <v>6.1</v>
      </c>
      <c r="Q33" s="4" t="s">
        <v>35</v>
      </c>
      <c r="R33" s="6" t="n">
        <f aca="true">ROUND((TODAY()-E33)/365.25,1)</f>
        <v>-0.1</v>
      </c>
      <c r="S33" s="6" t="s">
        <v>36</v>
      </c>
      <c r="T33" s="6" t="s">
        <v>36</v>
      </c>
    </row>
    <row r="34" customFormat="false" ht="15" hidden="false" customHeight="false" outlineLevel="0" collapsed="false">
      <c r="A34" s="7" t="s">
        <v>204</v>
      </c>
      <c r="B34" s="7" t="s">
        <v>205</v>
      </c>
      <c r="C34" s="7" t="s">
        <v>40</v>
      </c>
      <c r="D34" s="8" t="n">
        <v>36950</v>
      </c>
      <c r="E34" s="8" t="n">
        <v>44987</v>
      </c>
      <c r="F34" s="7" t="s">
        <v>173</v>
      </c>
      <c r="G34" s="7" t="s">
        <v>49</v>
      </c>
      <c r="H34" s="7" t="s">
        <v>168</v>
      </c>
      <c r="I34" s="7" t="s">
        <v>197</v>
      </c>
      <c r="J34" s="7" t="s">
        <v>139</v>
      </c>
      <c r="K34" s="7" t="s">
        <v>47</v>
      </c>
      <c r="L34" s="7" t="s">
        <v>206</v>
      </c>
      <c r="M34" s="7" t="s">
        <v>207</v>
      </c>
      <c r="N34" s="7" t="s">
        <v>71</v>
      </c>
      <c r="O34" s="7" t="s">
        <v>34</v>
      </c>
      <c r="P34" s="7" t="n">
        <v>4.1</v>
      </c>
      <c r="Q34" s="7" t="s">
        <v>35</v>
      </c>
      <c r="R34" s="6" t="n">
        <f aca="true">ROUND((TODAY()-E34)/365.25,1)</f>
        <v>3.5</v>
      </c>
      <c r="S34" s="6" t="s">
        <v>36</v>
      </c>
      <c r="T34" s="6" t="s">
        <v>36</v>
      </c>
    </row>
    <row r="35" customFormat="false" ht="15" hidden="false" customHeight="false" outlineLevel="0" collapsed="false">
      <c r="A35" s="4" t="s">
        <v>208</v>
      </c>
      <c r="B35" s="4" t="s">
        <v>209</v>
      </c>
      <c r="C35" s="4" t="s">
        <v>24</v>
      </c>
      <c r="D35" s="5" t="n">
        <v>34826</v>
      </c>
      <c r="E35" s="5" t="n">
        <v>45582</v>
      </c>
      <c r="F35" s="4" t="s">
        <v>173</v>
      </c>
      <c r="G35" s="4" t="s">
        <v>49</v>
      </c>
      <c r="H35" s="4" t="s">
        <v>111</v>
      </c>
      <c r="I35" s="4" t="s">
        <v>28</v>
      </c>
      <c r="J35" s="4" t="s">
        <v>139</v>
      </c>
      <c r="K35" s="4" t="s">
        <v>47</v>
      </c>
      <c r="L35" s="4" t="s">
        <v>210</v>
      </c>
      <c r="M35" s="4" t="s">
        <v>211</v>
      </c>
      <c r="N35" s="4" t="s">
        <v>89</v>
      </c>
      <c r="O35" s="4" t="s">
        <v>114</v>
      </c>
      <c r="P35" s="4" t="n">
        <v>12.7</v>
      </c>
      <c r="Q35" s="4" t="s">
        <v>35</v>
      </c>
      <c r="R35" s="6" t="n">
        <f aca="true">ROUND((TODAY()-E35)/365.25,1)</f>
        <v>1.9</v>
      </c>
      <c r="S35" s="6" t="s">
        <v>36</v>
      </c>
      <c r="T35" s="6" t="s">
        <v>37</v>
      </c>
    </row>
    <row r="36" customFormat="false" ht="15" hidden="false" customHeight="false" outlineLevel="0" collapsed="false">
      <c r="A36" s="7" t="s">
        <v>212</v>
      </c>
      <c r="B36" s="7" t="s">
        <v>213</v>
      </c>
      <c r="C36" s="7" t="s">
        <v>24</v>
      </c>
      <c r="D36" s="8" t="n">
        <v>32662</v>
      </c>
      <c r="E36" s="8" t="n">
        <v>43352</v>
      </c>
      <c r="F36" s="7" t="s">
        <v>214</v>
      </c>
      <c r="G36" s="7" t="s">
        <v>49</v>
      </c>
      <c r="H36" s="7" t="s">
        <v>168</v>
      </c>
      <c r="I36" s="7" t="s">
        <v>197</v>
      </c>
      <c r="J36" s="7" t="s">
        <v>139</v>
      </c>
      <c r="K36" s="7" t="s">
        <v>47</v>
      </c>
      <c r="L36" s="7" t="s">
        <v>215</v>
      </c>
      <c r="M36" s="7" t="s">
        <v>216</v>
      </c>
      <c r="N36" s="7" t="s">
        <v>95</v>
      </c>
      <c r="O36" s="7" t="s">
        <v>114</v>
      </c>
      <c r="P36" s="7" t="n">
        <v>8.1</v>
      </c>
      <c r="Q36" s="7" t="s">
        <v>35</v>
      </c>
      <c r="R36" s="6" t="n">
        <f aca="true">ROUND((TODAY()-E36)/365.25,1)</f>
        <v>8</v>
      </c>
      <c r="S36" s="6" t="s">
        <v>36</v>
      </c>
      <c r="T36" s="6" t="s">
        <v>36</v>
      </c>
    </row>
    <row r="37" customFormat="false" ht="15" hidden="false" customHeight="false" outlineLevel="0" collapsed="false">
      <c r="A37" s="4" t="s">
        <v>217</v>
      </c>
      <c r="B37" s="4" t="s">
        <v>218</v>
      </c>
      <c r="C37" s="4" t="s">
        <v>24</v>
      </c>
      <c r="D37" s="5" t="n">
        <v>32638</v>
      </c>
      <c r="E37" s="5" t="n">
        <v>42722</v>
      </c>
      <c r="F37" s="4" t="s">
        <v>219</v>
      </c>
      <c r="G37" s="4" t="s">
        <v>42</v>
      </c>
      <c r="H37" s="4" t="s">
        <v>118</v>
      </c>
      <c r="I37" s="4" t="s">
        <v>28</v>
      </c>
      <c r="J37" s="4" t="s">
        <v>29</v>
      </c>
      <c r="K37" s="4" t="s">
        <v>39</v>
      </c>
      <c r="L37" s="4" t="s">
        <v>220</v>
      </c>
      <c r="M37" s="4" t="s">
        <v>221</v>
      </c>
      <c r="N37" s="4" t="s">
        <v>83</v>
      </c>
      <c r="O37" s="4" t="s">
        <v>34</v>
      </c>
      <c r="P37" s="4" t="n">
        <v>6</v>
      </c>
      <c r="Q37" s="4" t="s">
        <v>35</v>
      </c>
      <c r="R37" s="6" t="n">
        <f aca="true">ROUND((TODAY()-E37)/365.25,1)</f>
        <v>9.7</v>
      </c>
      <c r="S37" s="6" t="s">
        <v>36</v>
      </c>
      <c r="T37" s="6" t="s">
        <v>36</v>
      </c>
    </row>
    <row r="38" customFormat="false" ht="15" hidden="false" customHeight="false" outlineLevel="0" collapsed="false">
      <c r="A38" s="7" t="s">
        <v>222</v>
      </c>
      <c r="B38" s="7" t="s">
        <v>223</v>
      </c>
      <c r="C38" s="7" t="s">
        <v>40</v>
      </c>
      <c r="D38" s="8" t="n">
        <v>32821</v>
      </c>
      <c r="E38" s="8" t="n">
        <v>42015</v>
      </c>
      <c r="F38" s="7" t="s">
        <v>224</v>
      </c>
      <c r="G38" s="7" t="s">
        <v>49</v>
      </c>
      <c r="H38" s="7" t="s">
        <v>168</v>
      </c>
      <c r="I38" s="7" t="s">
        <v>28</v>
      </c>
      <c r="J38" s="7" t="s">
        <v>119</v>
      </c>
      <c r="K38" s="7" t="s">
        <v>47</v>
      </c>
      <c r="L38" s="7" t="s">
        <v>225</v>
      </c>
      <c r="M38" s="7" t="s">
        <v>226</v>
      </c>
      <c r="N38" s="7" t="s">
        <v>33</v>
      </c>
      <c r="O38" s="7" t="s">
        <v>34</v>
      </c>
      <c r="P38" s="7" t="n">
        <v>13.1</v>
      </c>
      <c r="Q38" s="7" t="s">
        <v>35</v>
      </c>
      <c r="R38" s="6" t="n">
        <f aca="true">ROUND((TODAY()-E38)/365.25,1)</f>
        <v>11.6</v>
      </c>
      <c r="S38" s="6" t="s">
        <v>36</v>
      </c>
      <c r="T38" s="6" t="s">
        <v>37</v>
      </c>
    </row>
    <row r="39" customFormat="false" ht="15" hidden="false" customHeight="false" outlineLevel="0" collapsed="false">
      <c r="A39" s="4" t="s">
        <v>227</v>
      </c>
      <c r="B39" s="4" t="s">
        <v>228</v>
      </c>
      <c r="C39" s="4" t="s">
        <v>24</v>
      </c>
      <c r="D39" s="5" t="n">
        <v>31570</v>
      </c>
      <c r="E39" s="5" t="n">
        <v>42136</v>
      </c>
      <c r="F39" s="4" t="s">
        <v>229</v>
      </c>
      <c r="G39" s="4" t="s">
        <v>49</v>
      </c>
      <c r="H39" s="4" t="s">
        <v>111</v>
      </c>
      <c r="I39" s="4" t="s">
        <v>28</v>
      </c>
      <c r="J39" s="4" t="s">
        <v>139</v>
      </c>
      <c r="K39" s="4" t="s">
        <v>47</v>
      </c>
      <c r="L39" s="4" t="s">
        <v>230</v>
      </c>
      <c r="M39" s="4" t="s">
        <v>231</v>
      </c>
      <c r="N39" s="4" t="s">
        <v>52</v>
      </c>
      <c r="O39" s="4" t="s">
        <v>34</v>
      </c>
      <c r="P39" s="4" t="n">
        <v>6.5</v>
      </c>
      <c r="Q39" s="4" t="s">
        <v>35</v>
      </c>
      <c r="R39" s="6" t="n">
        <f aca="true">ROUND((TODAY()-E39)/365.25,1)</f>
        <v>11.3</v>
      </c>
      <c r="S39" s="6" t="s">
        <v>36</v>
      </c>
      <c r="T39" s="6" t="s">
        <v>36</v>
      </c>
    </row>
    <row r="40" customFormat="false" ht="15" hidden="false" customHeight="false" outlineLevel="0" collapsed="false">
      <c r="A40" s="7" t="s">
        <v>232</v>
      </c>
      <c r="B40" s="7" t="s">
        <v>233</v>
      </c>
      <c r="C40" s="7" t="s">
        <v>24</v>
      </c>
      <c r="D40" s="8" t="n">
        <v>34906</v>
      </c>
      <c r="E40" s="8" t="n">
        <v>42087</v>
      </c>
      <c r="F40" s="7" t="s">
        <v>234</v>
      </c>
      <c r="G40" s="7" t="s">
        <v>62</v>
      </c>
      <c r="H40" s="7" t="s">
        <v>111</v>
      </c>
      <c r="I40" s="7" t="s">
        <v>28</v>
      </c>
      <c r="J40" s="7" t="s">
        <v>119</v>
      </c>
      <c r="K40" s="7" t="s">
        <v>60</v>
      </c>
      <c r="L40" s="7" t="s">
        <v>235</v>
      </c>
      <c r="M40" s="7" t="s">
        <v>236</v>
      </c>
      <c r="N40" s="7" t="s">
        <v>95</v>
      </c>
      <c r="O40" s="7" t="s">
        <v>114</v>
      </c>
      <c r="P40" s="7" t="n">
        <v>14.7</v>
      </c>
      <c r="Q40" s="7" t="s">
        <v>35</v>
      </c>
      <c r="R40" s="6" t="n">
        <f aca="true">ROUND((TODAY()-E40)/365.25,1)</f>
        <v>11.4</v>
      </c>
      <c r="S40" s="6" t="s">
        <v>36</v>
      </c>
      <c r="T40" s="6" t="s">
        <v>37</v>
      </c>
    </row>
    <row r="41" customFormat="false" ht="15" hidden="false" customHeight="false" outlineLevel="0" collapsed="false">
      <c r="A41" s="4" t="s">
        <v>237</v>
      </c>
      <c r="B41" s="4" t="s">
        <v>238</v>
      </c>
      <c r="C41" s="4" t="s">
        <v>24</v>
      </c>
      <c r="D41" s="5" t="n">
        <v>33695</v>
      </c>
      <c r="E41" s="5" t="n">
        <v>44722</v>
      </c>
      <c r="F41" s="4" t="s">
        <v>239</v>
      </c>
      <c r="G41" s="4" t="s">
        <v>105</v>
      </c>
      <c r="H41" s="4" t="s">
        <v>111</v>
      </c>
      <c r="I41" s="4" t="s">
        <v>197</v>
      </c>
      <c r="J41" s="4" t="s">
        <v>29</v>
      </c>
      <c r="K41" s="4" t="s">
        <v>103</v>
      </c>
      <c r="L41" s="4" t="s">
        <v>240</v>
      </c>
      <c r="M41" s="4" t="s">
        <v>241</v>
      </c>
      <c r="N41" s="4" t="s">
        <v>52</v>
      </c>
      <c r="O41" s="4" t="s">
        <v>114</v>
      </c>
      <c r="P41" s="4" t="n">
        <v>5.8</v>
      </c>
      <c r="Q41" s="4" t="s">
        <v>35</v>
      </c>
      <c r="R41" s="6" t="n">
        <f aca="true">ROUND((TODAY()-E41)/365.25,1)</f>
        <v>4.2</v>
      </c>
      <c r="S41" s="6" t="s">
        <v>36</v>
      </c>
      <c r="T41" s="6" t="s">
        <v>36</v>
      </c>
    </row>
    <row r="42" customFormat="false" ht="15" hidden="false" customHeight="false" outlineLevel="0" collapsed="false">
      <c r="A42" s="7" t="s">
        <v>242</v>
      </c>
      <c r="B42" s="7" t="s">
        <v>243</v>
      </c>
      <c r="C42" s="7" t="s">
        <v>24</v>
      </c>
      <c r="D42" s="8" t="n">
        <v>31463</v>
      </c>
      <c r="E42" s="8" t="n">
        <v>43017</v>
      </c>
      <c r="F42" s="7" t="s">
        <v>244</v>
      </c>
      <c r="G42" s="7" t="s">
        <v>68</v>
      </c>
      <c r="H42" s="7" t="s">
        <v>132</v>
      </c>
      <c r="I42" s="7" t="s">
        <v>28</v>
      </c>
      <c r="J42" s="7" t="s">
        <v>119</v>
      </c>
      <c r="K42" s="7" t="s">
        <v>66</v>
      </c>
      <c r="L42" s="7" t="s">
        <v>245</v>
      </c>
      <c r="M42" s="7" t="s">
        <v>246</v>
      </c>
      <c r="N42" s="7" t="s">
        <v>71</v>
      </c>
      <c r="O42" s="7" t="s">
        <v>34</v>
      </c>
      <c r="P42" s="7" t="n">
        <v>7.8</v>
      </c>
      <c r="Q42" s="7" t="s">
        <v>35</v>
      </c>
      <c r="R42" s="6" t="n">
        <f aca="true">ROUND((TODAY()-E42)/365.25,1)</f>
        <v>8.9</v>
      </c>
      <c r="S42" s="6" t="s">
        <v>36</v>
      </c>
      <c r="T42" s="6" t="s">
        <v>36</v>
      </c>
    </row>
    <row r="43" customFormat="false" ht="15" hidden="false" customHeight="false" outlineLevel="0" collapsed="false">
      <c r="A43" s="4" t="s">
        <v>247</v>
      </c>
      <c r="B43" s="4" t="s">
        <v>248</v>
      </c>
      <c r="C43" s="4" t="s">
        <v>40</v>
      </c>
      <c r="D43" s="5" t="n">
        <v>33403</v>
      </c>
      <c r="E43" s="5" t="n">
        <v>45254</v>
      </c>
      <c r="F43" s="4" t="s">
        <v>219</v>
      </c>
      <c r="G43" s="4" t="s">
        <v>42</v>
      </c>
      <c r="H43" s="4" t="s">
        <v>150</v>
      </c>
      <c r="I43" s="4" t="s">
        <v>28</v>
      </c>
      <c r="J43" s="4" t="s">
        <v>119</v>
      </c>
      <c r="K43" s="4" t="s">
        <v>39</v>
      </c>
      <c r="L43" s="4" t="s">
        <v>249</v>
      </c>
      <c r="M43" s="4" t="s">
        <v>250</v>
      </c>
      <c r="N43" s="4" t="s">
        <v>89</v>
      </c>
      <c r="O43" s="4" t="s">
        <v>34</v>
      </c>
      <c r="P43" s="4" t="n">
        <v>15.8</v>
      </c>
      <c r="Q43" s="4" t="s">
        <v>35</v>
      </c>
      <c r="R43" s="6" t="n">
        <f aca="true">ROUND((TODAY()-E43)/365.25,1)</f>
        <v>2.8</v>
      </c>
      <c r="S43" s="6" t="s">
        <v>36</v>
      </c>
      <c r="T43" s="6" t="s">
        <v>37</v>
      </c>
    </row>
    <row r="44" customFormat="false" ht="15" hidden="false" customHeight="false" outlineLevel="0" collapsed="false">
      <c r="A44" s="7" t="s">
        <v>251</v>
      </c>
      <c r="B44" s="7" t="s">
        <v>252</v>
      </c>
      <c r="C44" s="7" t="s">
        <v>40</v>
      </c>
      <c r="D44" s="8" t="n">
        <v>36112</v>
      </c>
      <c r="E44" s="8" t="n">
        <v>44992</v>
      </c>
      <c r="F44" s="7" t="s">
        <v>253</v>
      </c>
      <c r="G44" s="7" t="s">
        <v>75</v>
      </c>
      <c r="H44" s="7" t="s">
        <v>111</v>
      </c>
      <c r="I44" s="7" t="s">
        <v>28</v>
      </c>
      <c r="J44" s="7" t="s">
        <v>156</v>
      </c>
      <c r="K44" s="7" t="s">
        <v>73</v>
      </c>
      <c r="L44" s="7" t="s">
        <v>254</v>
      </c>
      <c r="M44" s="7" t="s">
        <v>255</v>
      </c>
      <c r="N44" s="7" t="s">
        <v>95</v>
      </c>
      <c r="O44" s="7" t="s">
        <v>114</v>
      </c>
      <c r="P44" s="7" t="n">
        <v>13.2</v>
      </c>
      <c r="Q44" s="7" t="s">
        <v>35</v>
      </c>
      <c r="R44" s="6" t="n">
        <f aca="true">ROUND((TODAY()-E44)/365.25,1)</f>
        <v>3.5</v>
      </c>
      <c r="S44" s="6" t="s">
        <v>36</v>
      </c>
      <c r="T44" s="6" t="s">
        <v>37</v>
      </c>
    </row>
    <row r="45" customFormat="false" ht="15" hidden="false" customHeight="false" outlineLevel="0" collapsed="false">
      <c r="A45" s="4" t="s">
        <v>256</v>
      </c>
      <c r="B45" s="4" t="s">
        <v>257</v>
      </c>
      <c r="C45" s="4" t="s">
        <v>24</v>
      </c>
      <c r="D45" s="5" t="n">
        <v>34926</v>
      </c>
      <c r="E45" s="5" t="n">
        <v>45586</v>
      </c>
      <c r="F45" s="4" t="s">
        <v>167</v>
      </c>
      <c r="G45" s="4" t="s">
        <v>42</v>
      </c>
      <c r="H45" s="4" t="s">
        <v>132</v>
      </c>
      <c r="I45" s="4" t="s">
        <v>28</v>
      </c>
      <c r="J45" s="4" t="s">
        <v>139</v>
      </c>
      <c r="K45" s="4" t="s">
        <v>39</v>
      </c>
      <c r="L45" s="4" t="s">
        <v>258</v>
      </c>
      <c r="M45" s="4" t="s">
        <v>259</v>
      </c>
      <c r="N45" s="4" t="s">
        <v>33</v>
      </c>
      <c r="O45" s="4" t="s">
        <v>34</v>
      </c>
      <c r="P45" s="4" t="n">
        <v>12.2</v>
      </c>
      <c r="Q45" s="4" t="s">
        <v>35</v>
      </c>
      <c r="R45" s="6" t="n">
        <f aca="true">ROUND((TODAY()-E45)/365.25,1)</f>
        <v>1.9</v>
      </c>
      <c r="S45" s="6" t="s">
        <v>36</v>
      </c>
      <c r="T45" s="6" t="s">
        <v>37</v>
      </c>
    </row>
    <row r="46" customFormat="false" ht="15" hidden="false" customHeight="false" outlineLevel="0" collapsed="false">
      <c r="A46" s="7" t="s">
        <v>260</v>
      </c>
      <c r="B46" s="7" t="s">
        <v>261</v>
      </c>
      <c r="C46" s="7" t="s">
        <v>24</v>
      </c>
      <c r="D46" s="8" t="n">
        <v>31055</v>
      </c>
      <c r="E46" s="8" t="n">
        <v>43195</v>
      </c>
      <c r="F46" s="7" t="s">
        <v>244</v>
      </c>
      <c r="G46" s="7" t="s">
        <v>68</v>
      </c>
      <c r="H46" s="7" t="s">
        <v>132</v>
      </c>
      <c r="I46" s="7" t="s">
        <v>28</v>
      </c>
      <c r="J46" s="7" t="s">
        <v>139</v>
      </c>
      <c r="K46" s="7" t="s">
        <v>66</v>
      </c>
      <c r="L46" s="7" t="s">
        <v>262</v>
      </c>
      <c r="M46" s="7" t="s">
        <v>263</v>
      </c>
      <c r="N46" s="7" t="s">
        <v>52</v>
      </c>
      <c r="O46" s="7" t="s">
        <v>114</v>
      </c>
      <c r="P46" s="7" t="n">
        <v>11.3</v>
      </c>
      <c r="Q46" s="7" t="s">
        <v>35</v>
      </c>
      <c r="R46" s="6" t="n">
        <f aca="true">ROUND((TODAY()-E46)/365.25,1)</f>
        <v>8.4</v>
      </c>
      <c r="S46" s="6" t="s">
        <v>36</v>
      </c>
      <c r="T46" s="6" t="s">
        <v>37</v>
      </c>
    </row>
    <row r="47" customFormat="false" ht="15" hidden="false" customHeight="false" outlineLevel="0" collapsed="false">
      <c r="A47" s="4" t="s">
        <v>264</v>
      </c>
      <c r="B47" s="4" t="s">
        <v>265</v>
      </c>
      <c r="C47" s="4" t="s">
        <v>24</v>
      </c>
      <c r="D47" s="5" t="n">
        <v>32332</v>
      </c>
      <c r="E47" s="5" t="n">
        <v>46047</v>
      </c>
      <c r="F47" s="4" t="s">
        <v>266</v>
      </c>
      <c r="G47" s="4" t="s">
        <v>105</v>
      </c>
      <c r="H47" s="4" t="s">
        <v>168</v>
      </c>
      <c r="I47" s="4" t="s">
        <v>28</v>
      </c>
      <c r="J47" s="4" t="s">
        <v>139</v>
      </c>
      <c r="K47" s="4" t="s">
        <v>103</v>
      </c>
      <c r="L47" s="4" t="s">
        <v>267</v>
      </c>
      <c r="M47" s="4" t="s">
        <v>268</v>
      </c>
      <c r="N47" s="4" t="s">
        <v>83</v>
      </c>
      <c r="O47" s="4" t="s">
        <v>34</v>
      </c>
      <c r="P47" s="4" t="n">
        <v>13.9</v>
      </c>
      <c r="Q47" s="4" t="s">
        <v>35</v>
      </c>
      <c r="R47" s="6" t="n">
        <f aca="true">ROUND((TODAY()-E47)/365.25,1)</f>
        <v>0.6</v>
      </c>
      <c r="S47" s="6" t="s">
        <v>36</v>
      </c>
      <c r="T47" s="6" t="s">
        <v>37</v>
      </c>
    </row>
    <row r="48" customFormat="false" ht="15" hidden="false" customHeight="false" outlineLevel="0" collapsed="false">
      <c r="A48" s="7" t="s">
        <v>269</v>
      </c>
      <c r="B48" s="7" t="s">
        <v>270</v>
      </c>
      <c r="C48" s="7" t="s">
        <v>40</v>
      </c>
      <c r="D48" s="8" t="n">
        <v>36243</v>
      </c>
      <c r="E48" s="8" t="n">
        <v>46279</v>
      </c>
      <c r="F48" s="7" t="s">
        <v>131</v>
      </c>
      <c r="G48" s="7" t="s">
        <v>105</v>
      </c>
      <c r="H48" s="7" t="s">
        <v>132</v>
      </c>
      <c r="I48" s="7" t="s">
        <v>197</v>
      </c>
      <c r="J48" s="7" t="s">
        <v>29</v>
      </c>
      <c r="K48" s="7" t="s">
        <v>103</v>
      </c>
      <c r="L48" s="7" t="s">
        <v>271</v>
      </c>
      <c r="M48" s="7" t="s">
        <v>272</v>
      </c>
      <c r="N48" s="7" t="s">
        <v>95</v>
      </c>
      <c r="O48" s="7" t="s">
        <v>114</v>
      </c>
      <c r="P48" s="7" t="n">
        <v>9.2</v>
      </c>
      <c r="Q48" s="7" t="s">
        <v>35</v>
      </c>
      <c r="R48" s="6" t="n">
        <f aca="true">ROUND((TODAY()-E48)/365.25,1)</f>
        <v>-0</v>
      </c>
      <c r="S48" s="6" t="s">
        <v>36</v>
      </c>
      <c r="T48" s="6" t="s">
        <v>37</v>
      </c>
    </row>
    <row r="49" customFormat="false" ht="15" hidden="false" customHeight="false" outlineLevel="0" collapsed="false">
      <c r="A49" s="4" t="s">
        <v>273</v>
      </c>
      <c r="B49" s="4" t="s">
        <v>274</v>
      </c>
      <c r="C49" s="4" t="s">
        <v>40</v>
      </c>
      <c r="D49" s="5" t="n">
        <v>34868</v>
      </c>
      <c r="E49" s="5" t="n">
        <v>43564</v>
      </c>
      <c r="F49" s="4" t="s">
        <v>275</v>
      </c>
      <c r="G49" s="4" t="s">
        <v>62</v>
      </c>
      <c r="H49" s="4" t="s">
        <v>150</v>
      </c>
      <c r="I49" s="4" t="s">
        <v>28</v>
      </c>
      <c r="J49" s="4" t="s">
        <v>139</v>
      </c>
      <c r="K49" s="4" t="s">
        <v>60</v>
      </c>
      <c r="L49" s="4" t="s">
        <v>276</v>
      </c>
      <c r="M49" s="4" t="s">
        <v>277</v>
      </c>
      <c r="N49" s="4" t="s">
        <v>83</v>
      </c>
      <c r="O49" s="4" t="s">
        <v>114</v>
      </c>
      <c r="P49" s="4" t="n">
        <v>5</v>
      </c>
      <c r="Q49" s="4" t="s">
        <v>35</v>
      </c>
      <c r="R49" s="6" t="n">
        <f aca="true">ROUND((TODAY()-E49)/365.25,1)</f>
        <v>7.4</v>
      </c>
      <c r="S49" s="6" t="s">
        <v>36</v>
      </c>
      <c r="T49" s="6" t="s">
        <v>36</v>
      </c>
    </row>
    <row r="50" customFormat="false" ht="15" hidden="false" customHeight="false" outlineLevel="0" collapsed="false">
      <c r="A50" s="7" t="s">
        <v>278</v>
      </c>
      <c r="B50" s="7" t="s">
        <v>279</v>
      </c>
      <c r="C50" s="7" t="s">
        <v>40</v>
      </c>
      <c r="D50" s="8" t="n">
        <v>31333</v>
      </c>
      <c r="E50" s="8" t="n">
        <v>43294</v>
      </c>
      <c r="F50" s="7" t="s">
        <v>280</v>
      </c>
      <c r="G50" s="7" t="s">
        <v>68</v>
      </c>
      <c r="H50" s="7" t="s">
        <v>132</v>
      </c>
      <c r="I50" s="7" t="s">
        <v>28</v>
      </c>
      <c r="J50" s="7" t="s">
        <v>156</v>
      </c>
      <c r="K50" s="7" t="s">
        <v>66</v>
      </c>
      <c r="L50" s="7" t="s">
        <v>281</v>
      </c>
      <c r="M50" s="7" t="s">
        <v>282</v>
      </c>
      <c r="N50" s="7" t="s">
        <v>52</v>
      </c>
      <c r="O50" s="7" t="s">
        <v>34</v>
      </c>
      <c r="P50" s="7" t="n">
        <v>3.3</v>
      </c>
      <c r="Q50" s="7" t="s">
        <v>35</v>
      </c>
      <c r="R50" s="6" t="n">
        <f aca="true">ROUND((TODAY()-E50)/365.25,1)</f>
        <v>8.1</v>
      </c>
      <c r="S50" s="6" t="s">
        <v>36</v>
      </c>
      <c r="T50" s="6" t="s">
        <v>36</v>
      </c>
    </row>
    <row r="51" customFormat="false" ht="15" hidden="false" customHeight="false" outlineLevel="0" collapsed="false">
      <c r="A51" s="9" t="s">
        <v>283</v>
      </c>
      <c r="B51" s="9" t="s">
        <v>284</v>
      </c>
      <c r="C51" s="9" t="s">
        <v>40</v>
      </c>
      <c r="D51" s="10" t="n">
        <v>35770</v>
      </c>
      <c r="E51" s="10" t="n">
        <v>42196</v>
      </c>
      <c r="F51" s="9" t="s">
        <v>239</v>
      </c>
      <c r="G51" s="9" t="s">
        <v>105</v>
      </c>
      <c r="H51" s="9" t="s">
        <v>132</v>
      </c>
      <c r="I51" s="9" t="s">
        <v>28</v>
      </c>
      <c r="J51" s="9" t="s">
        <v>156</v>
      </c>
      <c r="K51" s="9" t="s">
        <v>103</v>
      </c>
      <c r="L51" s="9" t="s">
        <v>285</v>
      </c>
      <c r="M51" s="9" t="s">
        <v>286</v>
      </c>
      <c r="N51" s="9" t="s">
        <v>71</v>
      </c>
      <c r="O51" s="9" t="s">
        <v>114</v>
      </c>
      <c r="P51" s="9" t="n">
        <v>15.4</v>
      </c>
      <c r="Q51" s="9" t="s">
        <v>164</v>
      </c>
      <c r="R51" s="11" t="n">
        <f aca="true">ROUND((TODAY()-E51)/365.25,1)</f>
        <v>11.1</v>
      </c>
      <c r="S51" s="11" t="s">
        <v>36</v>
      </c>
      <c r="T51" s="11" t="s">
        <v>37</v>
      </c>
    </row>
    <row r="52" customFormat="false" ht="15" hidden="false" customHeight="false" outlineLevel="0" collapsed="false">
      <c r="A52" s="7" t="s">
        <v>287</v>
      </c>
      <c r="B52" s="7" t="s">
        <v>288</v>
      </c>
      <c r="C52" s="7" t="s">
        <v>24</v>
      </c>
      <c r="D52" s="8" t="n">
        <v>35588</v>
      </c>
      <c r="E52" s="8" t="n">
        <v>42744</v>
      </c>
      <c r="F52" s="7" t="s">
        <v>138</v>
      </c>
      <c r="G52" s="7" t="s">
        <v>99</v>
      </c>
      <c r="H52" s="7" t="s">
        <v>132</v>
      </c>
      <c r="I52" s="7" t="s">
        <v>28</v>
      </c>
      <c r="J52" s="7" t="s">
        <v>139</v>
      </c>
      <c r="K52" s="7" t="s">
        <v>97</v>
      </c>
      <c r="L52" s="7" t="s">
        <v>289</v>
      </c>
      <c r="M52" s="7" t="s">
        <v>290</v>
      </c>
      <c r="N52" s="7" t="s">
        <v>95</v>
      </c>
      <c r="O52" s="7" t="s">
        <v>114</v>
      </c>
      <c r="P52" s="7" t="n">
        <v>7.5</v>
      </c>
      <c r="Q52" s="7" t="s">
        <v>35</v>
      </c>
      <c r="R52" s="6" t="n">
        <f aca="true">ROUND((TODAY()-E52)/365.25,1)</f>
        <v>9.6</v>
      </c>
      <c r="S52" s="6" t="s">
        <v>36</v>
      </c>
      <c r="T52" s="6" t="s">
        <v>36</v>
      </c>
    </row>
    <row r="53" customFormat="false" ht="15" hidden="false" customHeight="false" outlineLevel="0" collapsed="false">
      <c r="A53" s="4" t="s">
        <v>96</v>
      </c>
      <c r="B53" s="4" t="s">
        <v>291</v>
      </c>
      <c r="C53" s="4" t="s">
        <v>24</v>
      </c>
      <c r="D53" s="5" t="n">
        <v>31420</v>
      </c>
      <c r="E53" s="5" t="n">
        <v>45713</v>
      </c>
      <c r="F53" s="4" t="s">
        <v>161</v>
      </c>
      <c r="G53" s="4" t="s">
        <v>105</v>
      </c>
      <c r="H53" s="4" t="s">
        <v>168</v>
      </c>
      <c r="I53" s="4" t="s">
        <v>28</v>
      </c>
      <c r="J53" s="4" t="s">
        <v>156</v>
      </c>
      <c r="K53" s="4" t="s">
        <v>103</v>
      </c>
      <c r="L53" s="4" t="s">
        <v>292</v>
      </c>
      <c r="M53" s="4" t="s">
        <v>293</v>
      </c>
      <c r="N53" s="4" t="s">
        <v>33</v>
      </c>
      <c r="O53" s="4" t="s">
        <v>34</v>
      </c>
      <c r="P53" s="4" t="n">
        <v>14.4</v>
      </c>
      <c r="Q53" s="4" t="s">
        <v>35</v>
      </c>
      <c r="R53" s="6" t="n">
        <f aca="true">ROUND((TODAY()-E53)/365.25,1)</f>
        <v>1.5</v>
      </c>
      <c r="S53" s="6" t="s">
        <v>36</v>
      </c>
      <c r="T53" s="6" t="s">
        <v>37</v>
      </c>
    </row>
    <row r="54" customFormat="false" ht="15" hidden="false" customHeight="false" outlineLevel="0" collapsed="false">
      <c r="A54" s="7" t="s">
        <v>294</v>
      </c>
      <c r="B54" s="7" t="s">
        <v>295</v>
      </c>
      <c r="C54" s="7" t="s">
        <v>40</v>
      </c>
      <c r="D54" s="8" t="n">
        <v>32212</v>
      </c>
      <c r="E54" s="8" t="n">
        <v>45649</v>
      </c>
      <c r="F54" s="7" t="s">
        <v>131</v>
      </c>
      <c r="G54" s="7" t="s">
        <v>105</v>
      </c>
      <c r="H54" s="7" t="s">
        <v>150</v>
      </c>
      <c r="I54" s="7" t="s">
        <v>28</v>
      </c>
      <c r="J54" s="7" t="s">
        <v>156</v>
      </c>
      <c r="K54" s="7" t="s">
        <v>103</v>
      </c>
      <c r="L54" s="7" t="s">
        <v>296</v>
      </c>
      <c r="M54" s="7" t="s">
        <v>297</v>
      </c>
      <c r="N54" s="7" t="s">
        <v>52</v>
      </c>
      <c r="O54" s="7" t="s">
        <v>34</v>
      </c>
      <c r="P54" s="7" t="n">
        <v>10.9</v>
      </c>
      <c r="Q54" s="7" t="s">
        <v>35</v>
      </c>
      <c r="R54" s="6" t="n">
        <f aca="true">ROUND((TODAY()-E54)/365.25,1)</f>
        <v>1.7</v>
      </c>
      <c r="S54" s="6" t="s">
        <v>36</v>
      </c>
      <c r="T54" s="6" t="s">
        <v>37</v>
      </c>
    </row>
    <row r="57" customFormat="false" ht="15" hidden="false" customHeight="false" outlineLevel="0" collapsed="false">
      <c r="A57" s="12" t="s">
        <v>298</v>
      </c>
    </row>
    <row r="58" customFormat="false" ht="15" hidden="false" customHeight="false" outlineLevel="0" collapsed="false">
      <c r="A58" s="13" t="s">
        <v>299</v>
      </c>
    </row>
    <row r="59" customFormat="false" ht="15" hidden="false" customHeight="false" outlineLevel="0" collapsed="false">
      <c r="A59" s="13" t="s">
        <v>300</v>
      </c>
    </row>
    <row r="60" customFormat="false" ht="15" hidden="false" customHeight="false" outlineLevel="0" collapsed="false">
      <c r="A60" s="14" t="s">
        <v>301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302</v>
      </c>
      <c r="B1" s="1"/>
      <c r="C1" s="1"/>
    </row>
    <row r="3" customFormat="false" ht="15" hidden="false" customHeight="false" outlineLevel="0" collapsed="false">
      <c r="A3" s="15" t="s">
        <v>8</v>
      </c>
      <c r="B3" s="15" t="s">
        <v>303</v>
      </c>
      <c r="C3" s="15" t="s">
        <v>35</v>
      </c>
    </row>
    <row r="4" customFormat="false" ht="15" hidden="false" customHeight="false" outlineLevel="0" collapsed="false">
      <c r="A4" s="16" t="s">
        <v>49</v>
      </c>
      <c r="B4" s="16" t="n">
        <f aca="false">COUNTIF('Employee Master'!G:G,A4)</f>
        <v>8</v>
      </c>
      <c r="C4" s="16" t="n">
        <f aca="false">COUNTIFS('Employee Master'!G:G,A4,'Employee Master'!Q:Q,"Active")</f>
        <v>6</v>
      </c>
    </row>
    <row r="5" customFormat="false" ht="15" hidden="false" customHeight="false" outlineLevel="0" collapsed="false">
      <c r="A5" s="16" t="s">
        <v>99</v>
      </c>
      <c r="B5" s="16" t="n">
        <f aca="false">COUNTIF('Employee Master'!G:G,A5)</f>
        <v>6</v>
      </c>
      <c r="C5" s="16" t="n">
        <f aca="false">COUNTIFS('Employee Master'!G:G,A5,'Employee Master'!Q:Q,"Active")</f>
        <v>6</v>
      </c>
    </row>
    <row r="6" customFormat="false" ht="15" hidden="false" customHeight="false" outlineLevel="0" collapsed="false">
      <c r="A6" s="16" t="s">
        <v>56</v>
      </c>
      <c r="B6" s="16" t="n">
        <f aca="false">COUNTIF('Employee Master'!G:G,A6)</f>
        <v>3</v>
      </c>
      <c r="C6" s="16" t="n">
        <f aca="false">COUNTIFS('Employee Master'!G:G,A6,'Employee Master'!Q:Q,"Active")</f>
        <v>3</v>
      </c>
    </row>
    <row r="7" customFormat="false" ht="15" hidden="false" customHeight="false" outlineLevel="0" collapsed="false">
      <c r="A7" s="16" t="s">
        <v>62</v>
      </c>
      <c r="B7" s="16" t="n">
        <f aca="false">COUNTIF('Employee Master'!G:G,A7)</f>
        <v>5</v>
      </c>
      <c r="C7" s="16" t="n">
        <f aca="false">COUNTIFS('Employee Master'!G:G,A7,'Employee Master'!Q:Q,"Active")</f>
        <v>5</v>
      </c>
    </row>
    <row r="8" customFormat="false" ht="15" hidden="false" customHeight="false" outlineLevel="0" collapsed="false">
      <c r="A8" s="16" t="s">
        <v>42</v>
      </c>
      <c r="B8" s="16" t="n">
        <f aca="false">COUNTIF('Employee Master'!G:G,A8)</f>
        <v>7</v>
      </c>
      <c r="C8" s="16" t="n">
        <f aca="false">COUNTIFS('Employee Master'!G:G,A8,'Employee Master'!Q:Q,"Active")</f>
        <v>7</v>
      </c>
    </row>
    <row r="9" customFormat="false" ht="15" hidden="false" customHeight="false" outlineLevel="0" collapsed="false">
      <c r="A9" s="16" t="s">
        <v>68</v>
      </c>
      <c r="B9" s="16" t="n">
        <f aca="false">COUNTIF('Employee Master'!G:G,A9)</f>
        <v>7</v>
      </c>
      <c r="C9" s="16" t="n">
        <f aca="false">COUNTIFS('Employee Master'!G:G,A9,'Employee Master'!Q:Q,"Active")</f>
        <v>7</v>
      </c>
    </row>
    <row r="10" customFormat="false" ht="15" hidden="false" customHeight="false" outlineLevel="0" collapsed="false">
      <c r="A10" s="16" t="s">
        <v>75</v>
      </c>
      <c r="B10" s="16" t="n">
        <f aca="false">COUNTIF('Employee Master'!G:G,A10)</f>
        <v>2</v>
      </c>
      <c r="C10" s="16" t="n">
        <f aca="false">COUNTIFS('Employee Master'!G:G,A10,'Employee Master'!Q:Q,"Active")</f>
        <v>2</v>
      </c>
    </row>
    <row r="11" customFormat="false" ht="15" hidden="false" customHeight="false" outlineLevel="0" collapsed="false">
      <c r="A11" s="16" t="s">
        <v>105</v>
      </c>
      <c r="B11" s="16" t="n">
        <f aca="false">COUNTIF('Employee Master'!G:G,A11)</f>
        <v>11</v>
      </c>
      <c r="C11" s="16" t="n">
        <f aca="false">COUNTIFS('Employee Master'!G:G,A11,'Employee Master'!Q:Q,"Active")</f>
        <v>8</v>
      </c>
    </row>
    <row r="12" customFormat="false" ht="15" hidden="false" customHeight="false" outlineLevel="0" collapsed="false">
      <c r="A12" s="16" t="s">
        <v>26</v>
      </c>
      <c r="B12" s="16" t="n">
        <f aca="false">COUNTIF('Employee Master'!G:G,A12)</f>
        <v>1</v>
      </c>
      <c r="C12" s="16" t="n">
        <f aca="false">COUNTIFS('Employee Master'!G:G,A12,'Employee Master'!Q:Q,"Active")</f>
        <v>1</v>
      </c>
    </row>
    <row r="13" customFormat="false" ht="15" hidden="false" customHeight="false" outlineLevel="0" collapsed="false">
      <c r="A13" s="17" t="s">
        <v>304</v>
      </c>
      <c r="B13" s="17" t="n">
        <f aca="false">SUM(B4:B12)</f>
        <v>50</v>
      </c>
      <c r="C13" s="17" t="n">
        <f aca="false">SUM(C4:C12)</f>
        <v>45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2026-09-02T18:43:31Z</dcterms:created>
  <dc:creator>openpyxl</dc:creator>
  <dc:description/>
  <dc:language>en-US</dc:language>
  <cp:lastModifiedBy/>
  <dcterms:modified xsi:type="dcterms:W3CDTF">2026-09-02T18:43:31Z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