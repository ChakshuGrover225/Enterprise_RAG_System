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Respon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<sst xmlns="http://schemas.openxmlformats.org/spreadsheetml/2006/main" count="211" uniqueCount="105">
  <si>
    <t xml:space="preserve">Solara Renewables — Employee Engagement Survey, Q3 FY 2026-27</t>
  </si>
  <si>
    <t xml:space="preserve">Survey window: 17-Aug-2026 to 28-Aug-2026 | Platform: Culture Amp (anonymous) | Response scale: 1=Strongly Disagree to 5=Strongly Agree | Q10 = eNPS (0-10, likelihood to recommend) | CONFIDENTIAL - responses anonymized at source</t>
  </si>
  <si>
    <t xml:space="preserve">Respondent ID</t>
  </si>
  <si>
    <t xml:space="preserve">Department</t>
  </si>
  <si>
    <t xml:space="preserve">Tenure Band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</si>
  <si>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</si>
  <si>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</si>
  <si>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</si>
  <si>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</si>
  <si>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</si>
  <si>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</si>
  <si>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</si>
  <si>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</si>
  <si>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</si>
  <si>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 (eNPS 0-10)</t>
  </si>
  <si>
    <t xml:space="preserve">Comment (optional)</t>
  </si>
  <si>
    <t xml:space="preserve">Composite Avg (Q1-Q9)</t>
  </si>
  <si>
    <t xml:space="preserve">RESP-001</t>
  </si>
  <si>
    <t xml:space="preserve">R&amp;D &amp; Engineering</t>
  </si>
  <si>
    <t xml:space="preserve">1-3 years</t>
  </si>
  <si>
    <t xml:space="preserve">Safety briefings on the shop floor are thorough and well run.</t>
  </si>
  <si>
    <t xml:space="preserve">RESP-002</t>
  </si>
  <si>
    <t xml:space="preserve">Information Technology</t>
  </si>
  <si>
    <t xml:space="preserve">&lt;1 year</t>
  </si>
  <si>
    <t xml:space="preserve">Really enjoy the quarterly town halls, keep them going.</t>
  </si>
  <si>
    <t xml:space="preserve">RESP-003</t>
  </si>
  <si>
    <t xml:space="preserve">Quality Assurance</t>
  </si>
  <si>
    <t xml:space="preserve">3-5 years</t>
  </si>
  <si>
    <t xml:space="preserve">RESP-004</t>
  </si>
  <si>
    <t xml:space="preserve">Manufacturing &amp; Production</t>
  </si>
  <si>
    <t xml:space="preserve">Would like more structured onboarding for contract staff.</t>
  </si>
  <si>
    <t xml:space="preserve">RESP-005</t>
  </si>
  <si>
    <t xml:space="preserve">Supply Chain &amp; Procurement</t>
  </si>
  <si>
    <t xml:space="preserve">Plant floor could use better break-room facilities.</t>
  </si>
  <si>
    <t xml:space="preserve">RESP-006</t>
  </si>
  <si>
    <t xml:space="preserve">Appreciate the flexibility around WFH for R&amp;D team.</t>
  </si>
  <si>
    <t xml:space="preserve">RESP-007</t>
  </si>
  <si>
    <t xml:space="preserve">Human Resources &amp; Admin</t>
  </si>
  <si>
    <t xml:space="preserve">RESP-008</t>
  </si>
  <si>
    <t xml:space="preserve">Sales &amp; Marketing</t>
  </si>
  <si>
    <t xml:space="preserve">RESP-009</t>
  </si>
  <si>
    <t xml:space="preserve">RESP-010</t>
  </si>
  <si>
    <t xml:space="preserve">RESP-011</t>
  </si>
  <si>
    <t xml:space="preserve">RESP-012</t>
  </si>
  <si>
    <t xml:space="preserve">RESP-013</t>
  </si>
  <si>
    <t xml:space="preserve">Finance &amp; Accounts</t>
  </si>
  <si>
    <t xml:space="preserve">RESP-014</t>
  </si>
  <si>
    <t xml:space="preserve">Canteen food quality at Plant 1 has dropped recently.</t>
  </si>
  <si>
    <t xml:space="preserve">RESP-015</t>
  </si>
  <si>
    <t xml:space="preserve">Compensation review cycle feels slow compared to market.</t>
  </si>
  <si>
    <t xml:space="preserve">RESP-016</t>
  </si>
  <si>
    <t xml:space="preserve">RESP-017</t>
  </si>
  <si>
    <t xml:space="preserve">RESP-018</t>
  </si>
  <si>
    <t xml:space="preserve">Manager check-ins have improved a lot this year.</t>
  </si>
  <si>
    <t xml:space="preserve">RESP-019</t>
  </si>
  <si>
    <t xml:space="preserve">RESP-020</t>
  </si>
  <si>
    <t xml:space="preserve">RESP-021</t>
  </si>
  <si>
    <t xml:space="preserve">RESP-022</t>
  </si>
  <si>
    <t xml:space="preserve">RESP-023</t>
  </si>
  <si>
    <t xml:space="preserve">RESP-024</t>
  </si>
  <si>
    <t xml:space="preserve">RESP-025</t>
  </si>
  <si>
    <t xml:space="preserve">RESP-026</t>
  </si>
  <si>
    <t xml:space="preserve">RESP-027</t>
  </si>
  <si>
    <t xml:space="preserve">Would like more clarity on the career ladder for engineering roles.</t>
  </si>
  <si>
    <t xml:space="preserve">RESP-028</t>
  </si>
  <si>
    <t xml:space="preserve">RESP-029</t>
  </si>
  <si>
    <t xml:space="preserve">RESP-030</t>
  </si>
  <si>
    <t xml:space="preserve">&gt;5 years</t>
  </si>
  <si>
    <t xml:space="preserve">RESP-031</t>
  </si>
  <si>
    <t xml:space="preserve">RESP-032</t>
  </si>
  <si>
    <t xml:space="preserve">RESP-033</t>
  </si>
  <si>
    <t xml:space="preserve">RESP-034</t>
  </si>
  <si>
    <t xml:space="preserve">RESP-035</t>
  </si>
  <si>
    <t xml:space="preserve">RESP-036</t>
  </si>
  <si>
    <t xml:space="preserve">RESP-037</t>
  </si>
  <si>
    <t xml:space="preserve">RESP-038</t>
  </si>
  <si>
    <t xml:space="preserve">RESP-039</t>
  </si>
  <si>
    <t xml:space="preserve">RESP-040</t>
  </si>
  <si>
    <t xml:space="preserve">RESP-041</t>
  </si>
  <si>
    <t xml:space="preserve">RESP-042</t>
  </si>
  <si>
    <t xml:space="preserve">Note: Respondent IDs are survey-tool-generated tokens, not linked to employee records, per the anonymity commitment made in the survey invitation.</t>
  </si>
  <si>
    <t xml:space="preserve">Invited: 287 | Responses: 42 | Response rate: see Summary tab.</t>
  </si>
  <si>
    <t xml:space="preserve">Solara Renewables — Engagement Survey Summary, Q3 FY 2026-27</t>
  </si>
  <si>
    <t xml:space="preserve">Auto-calculated from Raw Responses tab.</t>
  </si>
  <si>
    <t xml:space="preserve">Overall Metrics</t>
  </si>
  <si>
    <t xml:space="preserve">Employees invited</t>
  </si>
  <si>
    <t xml:space="preserve">Responses received</t>
  </si>
  <si>
    <t xml:space="preserve">Response rate</t>
  </si>
  <si>
    <t xml:space="preserve">Average engagement score (Q1-Q9, out of 5)</t>
  </si>
  <si>
    <t xml:space="preserve">eNPS (Promoters % - Detractors %, Q10)</t>
  </si>
  <si>
    <t xml:space="preserve">Average Score by Question</t>
  </si>
  <si>
    <t xml:space="preserve">Question</t>
  </si>
  <si>
    <t xml:space="preserve">Average Score</t>
  </si>
  <si>
    <t xml:space="preserve">Q1. I understand how my role contributes to Solara's goals.</t>
  </si>
  <si>
    <t xml:space="preserve">Q2. I have the tools and resources I need to do my job well.</t>
  </si>
  <si>
    <t xml:space="preserve">Q3. My manager provides regular, useful feedback.</t>
  </si>
  <si>
    <t xml:space="preserve">Q4. I feel recognized for the work I do.</t>
  </si>
  <si>
    <t xml:space="preserve">Q5. I see clear opportunities to grow my career at Solara.</t>
  </si>
  <si>
    <t xml:space="preserve">Q6. I feel safe raising concerns without fear of negative consequences.</t>
  </si>
  <si>
    <t xml:space="preserve">Q7. Solara supports a healthy work-life balance.</t>
  </si>
  <si>
    <t xml:space="preserve">Q8. I am satisfied with my compensation and benefits.</t>
  </si>
  <si>
    <t xml:space="preserve">Q9. Overall, I am satisfied working at Solara.</t>
  </si>
  <si>
    <t xml:space="preserve">Average Engagement Score by Department</t>
  </si>
  <si>
    <t xml:space="preserve">Avg Score (Q1-Q9)</t>
  </si>
  <si>
    <t xml:space="preserve">Respondents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</si>
</sst>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%"/>
    <numFmt numFmtId="167" formatCode="0%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12" min="4" style="0" width="6"/>
    <col collapsed="false" customWidth="true" hidden="false" outlineLevel="0" max="13" min="13" style="0" width="14"/>
    <col collapsed="false" customWidth="true" hidden="false" outlineLevel="0" max="14" min="14" style="0" width="40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5" t="s">
        <v>19</v>
      </c>
      <c r="D5" s="5" t="n">
        <v>4</v>
      </c>
      <c r="E5" s="5" t="n">
        <v>3</v>
      </c>
      <c r="F5" s="5" t="n">
        <v>5</v>
      </c>
      <c r="G5" s="5" t="n">
        <v>5</v>
      </c>
      <c r="H5" s="5" t="n">
        <v>4</v>
      </c>
      <c r="I5" s="5" t="n">
        <v>5</v>
      </c>
      <c r="J5" s="5" t="n">
        <v>3</v>
      </c>
      <c r="K5" s="5" t="n">
        <v>4</v>
      </c>
      <c r="L5" s="5" t="n">
        <v>5</v>
      </c>
      <c r="M5" s="5" t="n">
        <v>1</v>
      </c>
      <c r="N5" s="5" t="s">
        <v>20</v>
      </c>
      <c r="O5" s="6" t="n">
        <f aca="false">AVERAGE(D5:L5)</f>
        <v>4.22222222222222</v>
      </c>
    </row>
    <row r="6" customFormat="false" ht="15" hidden="false" customHeight="false" outlineLevel="0" collapsed="false">
      <c r="A6" s="7" t="s">
        <v>21</v>
      </c>
      <c r="B6" s="7" t="s">
        <v>22</v>
      </c>
      <c r="C6" s="8" t="s">
        <v>23</v>
      </c>
      <c r="D6" s="8" t="n">
        <v>5</v>
      </c>
      <c r="E6" s="8" t="n">
        <v>3</v>
      </c>
      <c r="F6" s="8" t="n">
        <v>3</v>
      </c>
      <c r="G6" s="8" t="n">
        <v>2</v>
      </c>
      <c r="H6" s="8" t="n">
        <v>5</v>
      </c>
      <c r="I6" s="8" t="n">
        <v>4</v>
      </c>
      <c r="J6" s="8" t="n">
        <v>5</v>
      </c>
      <c r="K6" s="8" t="n">
        <v>4</v>
      </c>
      <c r="L6" s="8" t="n">
        <v>2</v>
      </c>
      <c r="M6" s="8" t="n">
        <v>7</v>
      </c>
      <c r="N6" s="8" t="s">
        <v>24</v>
      </c>
      <c r="O6" s="9" t="n">
        <f aca="false">AVERAGE(D6:L6)</f>
        <v>3.66666666666667</v>
      </c>
    </row>
    <row r="7" customFormat="false" ht="15" hidden="false" customHeight="false" outlineLevel="0" collapsed="false">
      <c r="A7" s="4" t="s">
        <v>25</v>
      </c>
      <c r="B7" s="4" t="s">
        <v>26</v>
      </c>
      <c r="C7" s="5" t="s">
        <v>27</v>
      </c>
      <c r="D7" s="5" t="n">
        <v>5</v>
      </c>
      <c r="E7" s="5" t="n">
        <v>1</v>
      </c>
      <c r="F7" s="5" t="n">
        <v>4</v>
      </c>
      <c r="G7" s="5" t="n">
        <v>2</v>
      </c>
      <c r="H7" s="5" t="n">
        <v>5</v>
      </c>
      <c r="I7" s="5" t="n">
        <v>1</v>
      </c>
      <c r="J7" s="5" t="n">
        <v>3</v>
      </c>
      <c r="K7" s="5" t="n">
        <v>4</v>
      </c>
      <c r="L7" s="5" t="n">
        <v>4</v>
      </c>
      <c r="M7" s="5" t="n">
        <v>6</v>
      </c>
      <c r="N7" s="5"/>
      <c r="O7" s="6" t="n">
        <f aca="false">AVERAGE(D7:L7)</f>
        <v>3.22222222222222</v>
      </c>
    </row>
    <row r="8" customFormat="false" ht="15" hidden="false" customHeight="false" outlineLevel="0" collapsed="false">
      <c r="A8" s="7" t="s">
        <v>28</v>
      </c>
      <c r="B8" s="7" t="s">
        <v>29</v>
      </c>
      <c r="C8" s="8" t="s">
        <v>19</v>
      </c>
      <c r="D8" s="8" t="n">
        <v>5</v>
      </c>
      <c r="E8" s="8" t="n">
        <v>2</v>
      </c>
      <c r="F8" s="8" t="n">
        <v>3</v>
      </c>
      <c r="G8" s="8" t="n">
        <v>4</v>
      </c>
      <c r="H8" s="8" t="n">
        <v>5</v>
      </c>
      <c r="I8" s="8" t="n">
        <v>4</v>
      </c>
      <c r="J8" s="8" t="n">
        <v>5</v>
      </c>
      <c r="K8" s="8" t="n">
        <v>5</v>
      </c>
      <c r="L8" s="8" t="n">
        <v>5</v>
      </c>
      <c r="M8" s="8" t="n">
        <v>4</v>
      </c>
      <c r="N8" s="8" t="s">
        <v>30</v>
      </c>
      <c r="O8" s="9" t="n">
        <f aca="false">AVERAGE(D8:L8)</f>
        <v>4.22222222222222</v>
      </c>
    </row>
    <row r="9" customFormat="false" ht="15" hidden="false" customHeight="false" outlineLevel="0" collapsed="false">
      <c r="A9" s="4" t="s">
        <v>31</v>
      </c>
      <c r="B9" s="4" t="s">
        <v>32</v>
      </c>
      <c r="C9" s="5" t="s">
        <v>19</v>
      </c>
      <c r="D9" s="5" t="n">
        <v>4</v>
      </c>
      <c r="E9" s="5" t="n">
        <v>4</v>
      </c>
      <c r="F9" s="5" t="n">
        <v>3</v>
      </c>
      <c r="G9" s="5" t="n">
        <v>4</v>
      </c>
      <c r="H9" s="5" t="n">
        <v>3</v>
      </c>
      <c r="I9" s="5" t="n">
        <v>5</v>
      </c>
      <c r="J9" s="5" t="n">
        <v>4</v>
      </c>
      <c r="K9" s="5" t="n">
        <v>4</v>
      </c>
      <c r="L9" s="5" t="n">
        <v>4</v>
      </c>
      <c r="M9" s="5" t="n">
        <v>7</v>
      </c>
      <c r="N9" s="5" t="s">
        <v>33</v>
      </c>
      <c r="O9" s="6" t="n">
        <f aca="false">AVERAGE(D9:L9)</f>
        <v>3.88888888888889</v>
      </c>
    </row>
    <row r="10" customFormat="false" ht="15" hidden="false" customHeight="false" outlineLevel="0" collapsed="false">
      <c r="A10" s="7" t="s">
        <v>34</v>
      </c>
      <c r="B10" s="7" t="s">
        <v>18</v>
      </c>
      <c r="C10" s="8" t="s">
        <v>27</v>
      </c>
      <c r="D10" s="8" t="n">
        <v>5</v>
      </c>
      <c r="E10" s="8" t="n">
        <v>4</v>
      </c>
      <c r="F10" s="8" t="n">
        <v>4</v>
      </c>
      <c r="G10" s="8" t="n">
        <v>4</v>
      </c>
      <c r="H10" s="8" t="n">
        <v>4</v>
      </c>
      <c r="I10" s="8" t="n">
        <v>3</v>
      </c>
      <c r="J10" s="8" t="n">
        <v>4</v>
      </c>
      <c r="K10" s="8" t="n">
        <v>4</v>
      </c>
      <c r="L10" s="8" t="n">
        <v>4</v>
      </c>
      <c r="M10" s="8" t="n">
        <v>6</v>
      </c>
      <c r="N10" s="8" t="s">
        <v>35</v>
      </c>
      <c r="O10" s="9" t="n">
        <f aca="false">AVERAGE(D10:L10)</f>
        <v>4</v>
      </c>
    </row>
    <row r="11" customFormat="false" ht="15" hidden="false" customHeight="false" outlineLevel="0" collapsed="false">
      <c r="A11" s="4" t="s">
        <v>36</v>
      </c>
      <c r="B11" s="4" t="s">
        <v>37</v>
      </c>
      <c r="C11" s="5" t="s">
        <v>27</v>
      </c>
      <c r="D11" s="5" t="n">
        <v>4</v>
      </c>
      <c r="E11" s="5" t="n">
        <v>5</v>
      </c>
      <c r="F11" s="5" t="n">
        <v>5</v>
      </c>
      <c r="G11" s="5" t="n">
        <v>3</v>
      </c>
      <c r="H11" s="5" t="n">
        <v>3</v>
      </c>
      <c r="I11" s="5" t="n">
        <v>5</v>
      </c>
      <c r="J11" s="5" t="n">
        <v>3</v>
      </c>
      <c r="K11" s="5" t="n">
        <v>4</v>
      </c>
      <c r="L11" s="5" t="n">
        <v>3</v>
      </c>
      <c r="M11" s="5" t="n">
        <v>2</v>
      </c>
      <c r="N11" s="5" t="s">
        <v>30</v>
      </c>
      <c r="O11" s="6" t="n">
        <f aca="false">AVERAGE(D11:L11)</f>
        <v>3.88888888888889</v>
      </c>
    </row>
    <row r="12" customFormat="false" ht="15" hidden="false" customHeight="false" outlineLevel="0" collapsed="false">
      <c r="A12" s="7" t="s">
        <v>38</v>
      </c>
      <c r="B12" s="7" t="s">
        <v>39</v>
      </c>
      <c r="C12" s="8" t="s">
        <v>19</v>
      </c>
      <c r="D12" s="8" t="n">
        <v>5</v>
      </c>
      <c r="E12" s="8" t="n">
        <v>5</v>
      </c>
      <c r="F12" s="8" t="n">
        <v>4</v>
      </c>
      <c r="G12" s="8" t="n">
        <v>5</v>
      </c>
      <c r="H12" s="8" t="n">
        <v>4</v>
      </c>
      <c r="I12" s="8" t="n">
        <v>4</v>
      </c>
      <c r="J12" s="8" t="n">
        <v>3</v>
      </c>
      <c r="K12" s="8" t="n">
        <v>5</v>
      </c>
      <c r="L12" s="8" t="n">
        <v>3</v>
      </c>
      <c r="M12" s="8" t="n">
        <v>4</v>
      </c>
      <c r="N12" s="8"/>
      <c r="O12" s="9" t="n">
        <f aca="false">AVERAGE(D12:L12)</f>
        <v>4.22222222222222</v>
      </c>
    </row>
    <row r="13" customFormat="false" ht="15" hidden="false" customHeight="false" outlineLevel="0" collapsed="false">
      <c r="A13" s="4" t="s">
        <v>40</v>
      </c>
      <c r="B13" s="4" t="s">
        <v>22</v>
      </c>
      <c r="C13" s="5" t="s">
        <v>27</v>
      </c>
      <c r="D13" s="5" t="n">
        <v>4</v>
      </c>
      <c r="E13" s="5" t="n">
        <v>5</v>
      </c>
      <c r="F13" s="5" t="n">
        <v>2</v>
      </c>
      <c r="G13" s="5" t="n">
        <v>3</v>
      </c>
      <c r="H13" s="5" t="n">
        <v>3</v>
      </c>
      <c r="I13" s="5" t="n">
        <v>4</v>
      </c>
      <c r="J13" s="5" t="n">
        <v>3</v>
      </c>
      <c r="K13" s="5" t="n">
        <v>2</v>
      </c>
      <c r="L13" s="5" t="n">
        <v>4</v>
      </c>
      <c r="M13" s="5" t="n">
        <v>10</v>
      </c>
      <c r="N13" s="5" t="s">
        <v>35</v>
      </c>
      <c r="O13" s="6" t="n">
        <f aca="false">AVERAGE(D13:L13)</f>
        <v>3.33333333333333</v>
      </c>
    </row>
    <row r="14" customFormat="false" ht="15" hidden="false" customHeight="false" outlineLevel="0" collapsed="false">
      <c r="A14" s="7" t="s">
        <v>41</v>
      </c>
      <c r="B14" s="7" t="s">
        <v>32</v>
      </c>
      <c r="C14" s="8" t="s">
        <v>23</v>
      </c>
      <c r="D14" s="8" t="n">
        <v>3</v>
      </c>
      <c r="E14" s="8" t="n">
        <v>4</v>
      </c>
      <c r="F14" s="8" t="n">
        <v>5</v>
      </c>
      <c r="G14" s="8" t="n">
        <v>4</v>
      </c>
      <c r="H14" s="8" t="n">
        <v>5</v>
      </c>
      <c r="I14" s="8" t="n">
        <v>5</v>
      </c>
      <c r="J14" s="8" t="n">
        <v>4</v>
      </c>
      <c r="K14" s="8" t="n">
        <v>3</v>
      </c>
      <c r="L14" s="8" t="n">
        <v>4</v>
      </c>
      <c r="M14" s="8" t="n">
        <v>9</v>
      </c>
      <c r="N14" s="8" t="s">
        <v>24</v>
      </c>
      <c r="O14" s="9" t="n">
        <f aca="false">AVERAGE(D14:L14)</f>
        <v>4.11111111111111</v>
      </c>
    </row>
    <row r="15" customFormat="false" ht="15" hidden="false" customHeight="false" outlineLevel="0" collapsed="false">
      <c r="A15" s="4" t="s">
        <v>42</v>
      </c>
      <c r="B15" s="4" t="s">
        <v>32</v>
      </c>
      <c r="C15" s="5" t="s">
        <v>19</v>
      </c>
      <c r="D15" s="5" t="n">
        <v>4</v>
      </c>
      <c r="E15" s="5" t="n">
        <v>3</v>
      </c>
      <c r="F15" s="5" t="n">
        <v>5</v>
      </c>
      <c r="G15" s="5" t="n">
        <v>1</v>
      </c>
      <c r="H15" s="5" t="n">
        <v>4</v>
      </c>
      <c r="I15" s="5" t="n">
        <v>5</v>
      </c>
      <c r="J15" s="5" t="n">
        <v>1</v>
      </c>
      <c r="K15" s="5" t="n">
        <v>4</v>
      </c>
      <c r="L15" s="5" t="n">
        <v>4</v>
      </c>
      <c r="M15" s="5" t="n">
        <v>10</v>
      </c>
      <c r="N15" s="5" t="s">
        <v>20</v>
      </c>
      <c r="O15" s="6" t="n">
        <f aca="false">AVERAGE(D15:L15)</f>
        <v>3.44444444444444</v>
      </c>
    </row>
    <row r="16" customFormat="false" ht="15" hidden="false" customHeight="false" outlineLevel="0" collapsed="false">
      <c r="A16" s="7" t="s">
        <v>43</v>
      </c>
      <c r="B16" s="7" t="s">
        <v>22</v>
      </c>
      <c r="C16" s="8" t="s">
        <v>19</v>
      </c>
      <c r="D16" s="8" t="n">
        <v>4</v>
      </c>
      <c r="E16" s="8" t="n">
        <v>5</v>
      </c>
      <c r="F16" s="8" t="n">
        <v>5</v>
      </c>
      <c r="G16" s="8" t="n">
        <v>3</v>
      </c>
      <c r="H16" s="8" t="n">
        <v>2</v>
      </c>
      <c r="I16" s="8" t="n">
        <v>2</v>
      </c>
      <c r="J16" s="8" t="n">
        <v>1</v>
      </c>
      <c r="K16" s="8" t="n">
        <v>4</v>
      </c>
      <c r="L16" s="8" t="n">
        <v>3</v>
      </c>
      <c r="M16" s="8" t="n">
        <v>10</v>
      </c>
      <c r="N16" s="8"/>
      <c r="O16" s="9" t="n">
        <f aca="false">AVERAGE(D16:L16)</f>
        <v>3.22222222222222</v>
      </c>
    </row>
    <row r="17" customFormat="false" ht="15" hidden="false" customHeight="false" outlineLevel="0" collapsed="false">
      <c r="A17" s="4" t="s">
        <v>44</v>
      </c>
      <c r="B17" s="4" t="s">
        <v>45</v>
      </c>
      <c r="C17" s="5" t="s">
        <v>23</v>
      </c>
      <c r="D17" s="5" t="n">
        <v>4</v>
      </c>
      <c r="E17" s="5" t="n">
        <v>4</v>
      </c>
      <c r="F17" s="5" t="n">
        <v>4</v>
      </c>
      <c r="G17" s="5" t="n">
        <v>3</v>
      </c>
      <c r="H17" s="5" t="n">
        <v>3</v>
      </c>
      <c r="I17" s="5" t="n">
        <v>3</v>
      </c>
      <c r="J17" s="5" t="n">
        <v>4</v>
      </c>
      <c r="K17" s="5" t="n">
        <v>4</v>
      </c>
      <c r="L17" s="5" t="n">
        <v>4</v>
      </c>
      <c r="M17" s="5" t="n">
        <v>3</v>
      </c>
      <c r="N17" s="5"/>
      <c r="O17" s="6" t="n">
        <f aca="false">AVERAGE(D17:L17)</f>
        <v>3.66666666666667</v>
      </c>
    </row>
    <row r="18" customFormat="false" ht="15" hidden="false" customHeight="false" outlineLevel="0" collapsed="false">
      <c r="A18" s="7" t="s">
        <v>46</v>
      </c>
      <c r="B18" s="7" t="s">
        <v>29</v>
      </c>
      <c r="C18" s="8" t="s">
        <v>27</v>
      </c>
      <c r="D18" s="8" t="n">
        <v>1</v>
      </c>
      <c r="E18" s="8" t="n">
        <v>4</v>
      </c>
      <c r="F18" s="8" t="n">
        <v>2</v>
      </c>
      <c r="G18" s="8" t="n">
        <v>5</v>
      </c>
      <c r="H18" s="8" t="n">
        <v>3</v>
      </c>
      <c r="I18" s="8" t="n">
        <v>4</v>
      </c>
      <c r="J18" s="8" t="n">
        <v>3</v>
      </c>
      <c r="K18" s="8" t="n">
        <v>4</v>
      </c>
      <c r="L18" s="8" t="n">
        <v>4</v>
      </c>
      <c r="M18" s="8" t="n">
        <v>3</v>
      </c>
      <c r="N18" s="8" t="s">
        <v>47</v>
      </c>
      <c r="O18" s="9" t="n">
        <f aca="false">AVERAGE(D18:L18)</f>
        <v>3.33333333333333</v>
      </c>
    </row>
    <row r="19" customFormat="false" ht="15" hidden="false" customHeight="false" outlineLevel="0" collapsed="false">
      <c r="A19" s="4" t="s">
        <v>48</v>
      </c>
      <c r="B19" s="4" t="s">
        <v>18</v>
      </c>
      <c r="C19" s="5" t="s">
        <v>19</v>
      </c>
      <c r="D19" s="5" t="n">
        <v>5</v>
      </c>
      <c r="E19" s="5" t="n">
        <v>3</v>
      </c>
      <c r="F19" s="5" t="n">
        <v>4</v>
      </c>
      <c r="G19" s="5" t="n">
        <v>4</v>
      </c>
      <c r="H19" s="5" t="n">
        <v>5</v>
      </c>
      <c r="I19" s="5" t="n">
        <v>2</v>
      </c>
      <c r="J19" s="5" t="n">
        <v>4</v>
      </c>
      <c r="K19" s="5" t="n">
        <v>4</v>
      </c>
      <c r="L19" s="5" t="n">
        <v>4</v>
      </c>
      <c r="M19" s="5" t="n">
        <v>10</v>
      </c>
      <c r="N19" s="5" t="s">
        <v>49</v>
      </c>
      <c r="O19" s="6" t="n">
        <f aca="false">AVERAGE(D19:L19)</f>
        <v>3.88888888888889</v>
      </c>
    </row>
    <row r="20" customFormat="false" ht="15" hidden="false" customHeight="false" outlineLevel="0" collapsed="false">
      <c r="A20" s="7" t="s">
        <v>50</v>
      </c>
      <c r="B20" s="7" t="s">
        <v>45</v>
      </c>
      <c r="C20" s="8" t="s">
        <v>27</v>
      </c>
      <c r="D20" s="8" t="n">
        <v>4</v>
      </c>
      <c r="E20" s="8" t="n">
        <v>4</v>
      </c>
      <c r="F20" s="8" t="n">
        <v>2</v>
      </c>
      <c r="G20" s="8" t="n">
        <v>5</v>
      </c>
      <c r="H20" s="8" t="n">
        <v>5</v>
      </c>
      <c r="I20" s="8" t="n">
        <v>4</v>
      </c>
      <c r="J20" s="8" t="n">
        <v>4</v>
      </c>
      <c r="K20" s="8" t="n">
        <v>5</v>
      </c>
      <c r="L20" s="8" t="n">
        <v>3</v>
      </c>
      <c r="M20" s="8" t="n">
        <v>4</v>
      </c>
      <c r="N20" s="8" t="s">
        <v>33</v>
      </c>
      <c r="O20" s="9" t="n">
        <f aca="false">AVERAGE(D20:L20)</f>
        <v>4</v>
      </c>
    </row>
    <row r="21" customFormat="false" ht="15" hidden="false" customHeight="false" outlineLevel="0" collapsed="false">
      <c r="A21" s="4" t="s">
        <v>51</v>
      </c>
      <c r="B21" s="4" t="s">
        <v>32</v>
      </c>
      <c r="C21" s="5" t="s">
        <v>19</v>
      </c>
      <c r="D21" s="5" t="n">
        <v>5</v>
      </c>
      <c r="E21" s="5" t="n">
        <v>4</v>
      </c>
      <c r="F21" s="5" t="n">
        <v>4</v>
      </c>
      <c r="G21" s="5" t="n">
        <v>4</v>
      </c>
      <c r="H21" s="5" t="n">
        <v>4</v>
      </c>
      <c r="I21" s="5" t="n">
        <v>5</v>
      </c>
      <c r="J21" s="5" t="n">
        <v>2</v>
      </c>
      <c r="K21" s="5" t="n">
        <v>1</v>
      </c>
      <c r="L21" s="5" t="n">
        <v>4</v>
      </c>
      <c r="M21" s="5" t="n">
        <v>3</v>
      </c>
      <c r="N21" s="5" t="s">
        <v>49</v>
      </c>
      <c r="O21" s="6" t="n">
        <f aca="false">AVERAGE(D21:L21)</f>
        <v>3.66666666666667</v>
      </c>
    </row>
    <row r="22" customFormat="false" ht="15" hidden="false" customHeight="false" outlineLevel="0" collapsed="false">
      <c r="A22" s="7" t="s">
        <v>52</v>
      </c>
      <c r="B22" s="7" t="s">
        <v>22</v>
      </c>
      <c r="C22" s="8" t="s">
        <v>27</v>
      </c>
      <c r="D22" s="8" t="n">
        <v>4</v>
      </c>
      <c r="E22" s="8" t="n">
        <v>3</v>
      </c>
      <c r="F22" s="8" t="n">
        <v>4</v>
      </c>
      <c r="G22" s="8" t="n">
        <v>4</v>
      </c>
      <c r="H22" s="8" t="n">
        <v>4</v>
      </c>
      <c r="I22" s="8" t="n">
        <v>5</v>
      </c>
      <c r="J22" s="8" t="n">
        <v>2</v>
      </c>
      <c r="K22" s="8" t="n">
        <v>4</v>
      </c>
      <c r="L22" s="8" t="n">
        <v>4</v>
      </c>
      <c r="M22" s="8" t="n">
        <v>9</v>
      </c>
      <c r="N22" s="8" t="s">
        <v>53</v>
      </c>
      <c r="O22" s="9" t="n">
        <f aca="false">AVERAGE(D22:L22)</f>
        <v>3.77777777777778</v>
      </c>
    </row>
    <row r="23" customFormat="false" ht="15" hidden="false" customHeight="false" outlineLevel="0" collapsed="false">
      <c r="A23" s="4" t="s">
        <v>54</v>
      </c>
      <c r="B23" s="4" t="s">
        <v>32</v>
      </c>
      <c r="C23" s="5" t="s">
        <v>27</v>
      </c>
      <c r="D23" s="5" t="n">
        <v>5</v>
      </c>
      <c r="E23" s="5" t="n">
        <v>4</v>
      </c>
      <c r="F23" s="5" t="n">
        <v>5</v>
      </c>
      <c r="G23" s="5" t="n">
        <v>4</v>
      </c>
      <c r="H23" s="5" t="n">
        <v>4</v>
      </c>
      <c r="I23" s="5" t="n">
        <v>3</v>
      </c>
      <c r="J23" s="5" t="n">
        <v>5</v>
      </c>
      <c r="K23" s="5" t="n">
        <v>4</v>
      </c>
      <c r="L23" s="5" t="n">
        <v>4</v>
      </c>
      <c r="M23" s="5" t="n">
        <v>10</v>
      </c>
      <c r="N23" s="5"/>
      <c r="O23" s="6" t="n">
        <f aca="false">AVERAGE(D23:L23)</f>
        <v>4.22222222222222</v>
      </c>
    </row>
    <row r="24" customFormat="false" ht="15" hidden="false" customHeight="false" outlineLevel="0" collapsed="false">
      <c r="A24" s="7" t="s">
        <v>55</v>
      </c>
      <c r="B24" s="7" t="s">
        <v>29</v>
      </c>
      <c r="C24" s="8" t="s">
        <v>23</v>
      </c>
      <c r="D24" s="8" t="n">
        <v>3</v>
      </c>
      <c r="E24" s="8" t="n">
        <v>5</v>
      </c>
      <c r="F24" s="8" t="n">
        <v>4</v>
      </c>
      <c r="G24" s="8" t="n">
        <v>2</v>
      </c>
      <c r="H24" s="8" t="n">
        <v>3</v>
      </c>
      <c r="I24" s="8" t="n">
        <v>4</v>
      </c>
      <c r="J24" s="8" t="n">
        <v>4</v>
      </c>
      <c r="K24" s="8" t="n">
        <v>4</v>
      </c>
      <c r="L24" s="8" t="n">
        <v>4</v>
      </c>
      <c r="M24" s="8" t="n">
        <v>10</v>
      </c>
      <c r="N24" s="8" t="s">
        <v>35</v>
      </c>
      <c r="O24" s="9" t="n">
        <f aca="false">AVERAGE(D24:L24)</f>
        <v>3.66666666666667</v>
      </c>
    </row>
    <row r="25" customFormat="false" ht="15" hidden="false" customHeight="false" outlineLevel="0" collapsed="false">
      <c r="A25" s="4" t="s">
        <v>56</v>
      </c>
      <c r="B25" s="4" t="s">
        <v>22</v>
      </c>
      <c r="C25" s="5" t="s">
        <v>23</v>
      </c>
      <c r="D25" s="5" t="n">
        <v>4</v>
      </c>
      <c r="E25" s="5" t="n">
        <v>4</v>
      </c>
      <c r="F25" s="5" t="n">
        <v>4</v>
      </c>
      <c r="G25" s="5" t="n">
        <v>3</v>
      </c>
      <c r="H25" s="5" t="n">
        <v>5</v>
      </c>
      <c r="I25" s="5" t="n">
        <v>4</v>
      </c>
      <c r="J25" s="5" t="n">
        <v>3</v>
      </c>
      <c r="K25" s="5" t="n">
        <v>5</v>
      </c>
      <c r="L25" s="5" t="n">
        <v>3</v>
      </c>
      <c r="M25" s="5" t="n">
        <v>9</v>
      </c>
      <c r="N25" s="5" t="s">
        <v>53</v>
      </c>
      <c r="O25" s="6" t="n">
        <f aca="false">AVERAGE(D25:L25)</f>
        <v>3.88888888888889</v>
      </c>
    </row>
    <row r="26" customFormat="false" ht="15" hidden="false" customHeight="false" outlineLevel="0" collapsed="false">
      <c r="A26" s="7" t="s">
        <v>57</v>
      </c>
      <c r="B26" s="7" t="s">
        <v>39</v>
      </c>
      <c r="C26" s="8" t="s">
        <v>19</v>
      </c>
      <c r="D26" s="8" t="n">
        <v>3</v>
      </c>
      <c r="E26" s="8" t="n">
        <v>4</v>
      </c>
      <c r="F26" s="8" t="n">
        <v>5</v>
      </c>
      <c r="G26" s="8" t="n">
        <v>4</v>
      </c>
      <c r="H26" s="8" t="n">
        <v>4</v>
      </c>
      <c r="I26" s="8" t="n">
        <v>4</v>
      </c>
      <c r="J26" s="8" t="n">
        <v>3</v>
      </c>
      <c r="K26" s="8" t="n">
        <v>3</v>
      </c>
      <c r="L26" s="8" t="n">
        <v>4</v>
      </c>
      <c r="M26" s="8" t="n">
        <v>7</v>
      </c>
      <c r="N26" s="8" t="s">
        <v>53</v>
      </c>
      <c r="O26" s="9" t="n">
        <f aca="false">AVERAGE(D26:L26)</f>
        <v>3.77777777777778</v>
      </c>
    </row>
    <row r="27" customFormat="false" ht="15" hidden="false" customHeight="false" outlineLevel="0" collapsed="false">
      <c r="A27" s="4" t="s">
        <v>58</v>
      </c>
      <c r="B27" s="4" t="s">
        <v>39</v>
      </c>
      <c r="C27" s="5" t="s">
        <v>23</v>
      </c>
      <c r="D27" s="5" t="n">
        <v>5</v>
      </c>
      <c r="E27" s="5" t="n">
        <v>5</v>
      </c>
      <c r="F27" s="5" t="n">
        <v>4</v>
      </c>
      <c r="G27" s="5" t="n">
        <v>1</v>
      </c>
      <c r="H27" s="5" t="n">
        <v>4</v>
      </c>
      <c r="I27" s="5" t="n">
        <v>2</v>
      </c>
      <c r="J27" s="5" t="n">
        <v>4</v>
      </c>
      <c r="K27" s="5" t="n">
        <v>4</v>
      </c>
      <c r="L27" s="5" t="n">
        <v>3</v>
      </c>
      <c r="M27" s="5" t="n">
        <v>0</v>
      </c>
      <c r="N27" s="5" t="s">
        <v>30</v>
      </c>
      <c r="O27" s="6" t="n">
        <f aca="false">AVERAGE(D27:L27)</f>
        <v>3.55555555555556</v>
      </c>
    </row>
    <row r="28" customFormat="false" ht="15" hidden="false" customHeight="false" outlineLevel="0" collapsed="false">
      <c r="A28" s="7" t="s">
        <v>59</v>
      </c>
      <c r="B28" s="7" t="s">
        <v>18</v>
      </c>
      <c r="C28" s="8" t="s">
        <v>23</v>
      </c>
      <c r="D28" s="8" t="n">
        <v>4</v>
      </c>
      <c r="E28" s="8" t="n">
        <v>4</v>
      </c>
      <c r="F28" s="8" t="n">
        <v>5</v>
      </c>
      <c r="G28" s="8" t="n">
        <v>4</v>
      </c>
      <c r="H28" s="8" t="n">
        <v>3</v>
      </c>
      <c r="I28" s="8" t="n">
        <v>5</v>
      </c>
      <c r="J28" s="8" t="n">
        <v>5</v>
      </c>
      <c r="K28" s="8" t="n">
        <v>4</v>
      </c>
      <c r="L28" s="8" t="n">
        <v>2</v>
      </c>
      <c r="M28" s="8" t="n">
        <v>6</v>
      </c>
      <c r="N28" s="8" t="s">
        <v>47</v>
      </c>
      <c r="O28" s="9" t="n">
        <f aca="false">AVERAGE(D28:L28)</f>
        <v>4</v>
      </c>
    </row>
    <row r="29" customFormat="false" ht="15" hidden="false" customHeight="false" outlineLevel="0" collapsed="false">
      <c r="A29" s="4" t="s">
        <v>60</v>
      </c>
      <c r="B29" s="4" t="s">
        <v>39</v>
      </c>
      <c r="C29" s="5" t="s">
        <v>23</v>
      </c>
      <c r="D29" s="5" t="n">
        <v>5</v>
      </c>
      <c r="E29" s="5" t="n">
        <v>5</v>
      </c>
      <c r="F29" s="5" t="n">
        <v>5</v>
      </c>
      <c r="G29" s="5" t="n">
        <v>5</v>
      </c>
      <c r="H29" s="5" t="n">
        <v>1</v>
      </c>
      <c r="I29" s="5" t="n">
        <v>4</v>
      </c>
      <c r="J29" s="5" t="n">
        <v>2</v>
      </c>
      <c r="K29" s="5" t="n">
        <v>5</v>
      </c>
      <c r="L29" s="5" t="n">
        <v>4</v>
      </c>
      <c r="M29" s="5" t="n">
        <v>9</v>
      </c>
      <c r="N29" s="5" t="s">
        <v>53</v>
      </c>
      <c r="O29" s="6" t="n">
        <f aca="false">AVERAGE(D29:L29)</f>
        <v>4</v>
      </c>
    </row>
    <row r="30" customFormat="false" ht="15" hidden="false" customHeight="false" outlineLevel="0" collapsed="false">
      <c r="A30" s="7" t="s">
        <v>61</v>
      </c>
      <c r="B30" s="7" t="s">
        <v>18</v>
      </c>
      <c r="C30" s="8" t="s">
        <v>23</v>
      </c>
      <c r="D30" s="8" t="n">
        <v>5</v>
      </c>
      <c r="E30" s="8" t="n">
        <v>4</v>
      </c>
      <c r="F30" s="8" t="n">
        <v>4</v>
      </c>
      <c r="G30" s="8" t="n">
        <v>4</v>
      </c>
      <c r="H30" s="8" t="n">
        <v>5</v>
      </c>
      <c r="I30" s="8" t="n">
        <v>4</v>
      </c>
      <c r="J30" s="8" t="n">
        <v>3</v>
      </c>
      <c r="K30" s="8" t="n">
        <v>4</v>
      </c>
      <c r="L30" s="8" t="n">
        <v>3</v>
      </c>
      <c r="M30" s="8" t="n">
        <v>9</v>
      </c>
      <c r="N30" s="8"/>
      <c r="O30" s="9" t="n">
        <f aca="false">AVERAGE(D30:L30)</f>
        <v>4</v>
      </c>
    </row>
    <row r="31" customFormat="false" ht="15" hidden="false" customHeight="false" outlineLevel="0" collapsed="false">
      <c r="A31" s="4" t="s">
        <v>62</v>
      </c>
      <c r="B31" s="4" t="s">
        <v>26</v>
      </c>
      <c r="C31" s="5" t="s">
        <v>27</v>
      </c>
      <c r="D31" s="5" t="n">
        <v>3</v>
      </c>
      <c r="E31" s="5" t="n">
        <v>2</v>
      </c>
      <c r="F31" s="5" t="n">
        <v>5</v>
      </c>
      <c r="G31" s="5" t="n">
        <v>4</v>
      </c>
      <c r="H31" s="5" t="n">
        <v>4</v>
      </c>
      <c r="I31" s="5" t="n">
        <v>3</v>
      </c>
      <c r="J31" s="5" t="n">
        <v>4</v>
      </c>
      <c r="K31" s="5" t="n">
        <v>3</v>
      </c>
      <c r="L31" s="5" t="n">
        <v>5</v>
      </c>
      <c r="M31" s="5" t="n">
        <v>8</v>
      </c>
      <c r="N31" s="5" t="s">
        <v>63</v>
      </c>
      <c r="O31" s="6" t="n">
        <f aca="false">AVERAGE(D31:L31)</f>
        <v>3.66666666666667</v>
      </c>
    </row>
    <row r="32" customFormat="false" ht="15" hidden="false" customHeight="false" outlineLevel="0" collapsed="false">
      <c r="A32" s="7" t="s">
        <v>64</v>
      </c>
      <c r="B32" s="7" t="s">
        <v>26</v>
      </c>
      <c r="C32" s="8" t="s">
        <v>23</v>
      </c>
      <c r="D32" s="8" t="n">
        <v>4</v>
      </c>
      <c r="E32" s="8" t="n">
        <v>3</v>
      </c>
      <c r="F32" s="8" t="n">
        <v>3</v>
      </c>
      <c r="G32" s="8" t="n">
        <v>3</v>
      </c>
      <c r="H32" s="8" t="n">
        <v>5</v>
      </c>
      <c r="I32" s="8" t="n">
        <v>4</v>
      </c>
      <c r="J32" s="8" t="n">
        <v>4</v>
      </c>
      <c r="K32" s="8" t="n">
        <v>3</v>
      </c>
      <c r="L32" s="8" t="n">
        <v>4</v>
      </c>
      <c r="M32" s="8" t="n">
        <v>9</v>
      </c>
      <c r="N32" s="8" t="s">
        <v>20</v>
      </c>
      <c r="O32" s="9" t="n">
        <f aca="false">AVERAGE(D32:L32)</f>
        <v>3.66666666666667</v>
      </c>
    </row>
    <row r="33" customFormat="false" ht="15" hidden="false" customHeight="false" outlineLevel="0" collapsed="false">
      <c r="A33" s="4" t="s">
        <v>65</v>
      </c>
      <c r="B33" s="4" t="s">
        <v>18</v>
      </c>
      <c r="C33" s="5" t="s">
        <v>23</v>
      </c>
      <c r="D33" s="5" t="n">
        <v>4</v>
      </c>
      <c r="E33" s="5" t="n">
        <v>4</v>
      </c>
      <c r="F33" s="5" t="n">
        <v>5</v>
      </c>
      <c r="G33" s="5" t="n">
        <v>4</v>
      </c>
      <c r="H33" s="5" t="n">
        <v>1</v>
      </c>
      <c r="I33" s="5" t="n">
        <v>3</v>
      </c>
      <c r="J33" s="5" t="n">
        <v>2</v>
      </c>
      <c r="K33" s="5" t="n">
        <v>4</v>
      </c>
      <c r="L33" s="5" t="n">
        <v>4</v>
      </c>
      <c r="M33" s="5" t="n">
        <v>9</v>
      </c>
      <c r="N33" s="5" t="s">
        <v>20</v>
      </c>
      <c r="O33" s="6" t="n">
        <f aca="false">AVERAGE(D33:L33)</f>
        <v>3.44444444444444</v>
      </c>
    </row>
    <row r="34" customFormat="false" ht="15" hidden="false" customHeight="false" outlineLevel="0" collapsed="false">
      <c r="A34" s="7" t="s">
        <v>66</v>
      </c>
      <c r="B34" s="7" t="s">
        <v>26</v>
      </c>
      <c r="C34" s="8" t="s">
        <v>67</v>
      </c>
      <c r="D34" s="8" t="n">
        <v>4</v>
      </c>
      <c r="E34" s="8" t="n">
        <v>5</v>
      </c>
      <c r="F34" s="8" t="n">
        <v>5</v>
      </c>
      <c r="G34" s="8" t="n">
        <v>5</v>
      </c>
      <c r="H34" s="8" t="n">
        <v>1</v>
      </c>
      <c r="I34" s="8" t="n">
        <v>4</v>
      </c>
      <c r="J34" s="8" t="n">
        <v>4</v>
      </c>
      <c r="K34" s="8" t="n">
        <v>4</v>
      </c>
      <c r="L34" s="8" t="n">
        <v>5</v>
      </c>
      <c r="M34" s="8" t="n">
        <v>9</v>
      </c>
      <c r="N34" s="8" t="s">
        <v>35</v>
      </c>
      <c r="O34" s="9" t="n">
        <f aca="false">AVERAGE(D34:L34)</f>
        <v>4.11111111111111</v>
      </c>
    </row>
    <row r="35" customFormat="false" ht="15" hidden="false" customHeight="false" outlineLevel="0" collapsed="false">
      <c r="A35" s="4" t="s">
        <v>68</v>
      </c>
      <c r="B35" s="4" t="s">
        <v>18</v>
      </c>
      <c r="C35" s="5" t="s">
        <v>67</v>
      </c>
      <c r="D35" s="5" t="n">
        <v>4</v>
      </c>
      <c r="E35" s="5" t="n">
        <v>5</v>
      </c>
      <c r="F35" s="5" t="n">
        <v>3</v>
      </c>
      <c r="G35" s="5" t="n">
        <v>5</v>
      </c>
      <c r="H35" s="5" t="n">
        <v>4</v>
      </c>
      <c r="I35" s="5" t="n">
        <v>5</v>
      </c>
      <c r="J35" s="5" t="n">
        <v>4</v>
      </c>
      <c r="K35" s="5" t="n">
        <v>5</v>
      </c>
      <c r="L35" s="5" t="n">
        <v>4</v>
      </c>
      <c r="M35" s="5" t="n">
        <v>4</v>
      </c>
      <c r="N35" s="5" t="s">
        <v>47</v>
      </c>
      <c r="O35" s="6" t="n">
        <f aca="false">AVERAGE(D35:L35)</f>
        <v>4.33333333333333</v>
      </c>
    </row>
    <row r="36" customFormat="false" ht="15" hidden="false" customHeight="false" outlineLevel="0" collapsed="false">
      <c r="A36" s="7" t="s">
        <v>69</v>
      </c>
      <c r="B36" s="7" t="s">
        <v>18</v>
      </c>
      <c r="C36" s="8" t="s">
        <v>19</v>
      </c>
      <c r="D36" s="8" t="n">
        <v>4</v>
      </c>
      <c r="E36" s="8" t="n">
        <v>5</v>
      </c>
      <c r="F36" s="8" t="n">
        <v>4</v>
      </c>
      <c r="G36" s="8" t="n">
        <v>5</v>
      </c>
      <c r="H36" s="8" t="n">
        <v>5</v>
      </c>
      <c r="I36" s="8" t="n">
        <v>5</v>
      </c>
      <c r="J36" s="8" t="n">
        <v>5</v>
      </c>
      <c r="K36" s="8" t="n">
        <v>5</v>
      </c>
      <c r="L36" s="8" t="n">
        <v>4</v>
      </c>
      <c r="M36" s="8" t="n">
        <v>9</v>
      </c>
      <c r="N36" s="8" t="s">
        <v>53</v>
      </c>
      <c r="O36" s="9" t="n">
        <f aca="false">AVERAGE(D36:L36)</f>
        <v>4.66666666666667</v>
      </c>
    </row>
    <row r="37" customFormat="false" ht="15" hidden="false" customHeight="false" outlineLevel="0" collapsed="false">
      <c r="A37" s="4" t="s">
        <v>70</v>
      </c>
      <c r="B37" s="4" t="s">
        <v>37</v>
      </c>
      <c r="C37" s="5" t="s">
        <v>67</v>
      </c>
      <c r="D37" s="5" t="n">
        <v>4</v>
      </c>
      <c r="E37" s="5" t="n">
        <v>3</v>
      </c>
      <c r="F37" s="5" t="n">
        <v>3</v>
      </c>
      <c r="G37" s="5" t="n">
        <v>4</v>
      </c>
      <c r="H37" s="5" t="n">
        <v>4</v>
      </c>
      <c r="I37" s="5" t="n">
        <v>5</v>
      </c>
      <c r="J37" s="5" t="n">
        <v>5</v>
      </c>
      <c r="K37" s="5" t="n">
        <v>4</v>
      </c>
      <c r="L37" s="5" t="n">
        <v>3</v>
      </c>
      <c r="M37" s="5" t="n">
        <v>8</v>
      </c>
      <c r="N37" s="5" t="s">
        <v>47</v>
      </c>
      <c r="O37" s="6" t="n">
        <f aca="false">AVERAGE(D37:L37)</f>
        <v>3.88888888888889</v>
      </c>
    </row>
    <row r="38" customFormat="false" ht="15" hidden="false" customHeight="false" outlineLevel="0" collapsed="false">
      <c r="A38" s="7" t="s">
        <v>71</v>
      </c>
      <c r="B38" s="7" t="s">
        <v>39</v>
      </c>
      <c r="C38" s="8" t="s">
        <v>19</v>
      </c>
      <c r="D38" s="8" t="n">
        <v>3</v>
      </c>
      <c r="E38" s="8" t="n">
        <v>4</v>
      </c>
      <c r="F38" s="8" t="n">
        <v>4</v>
      </c>
      <c r="G38" s="8" t="n">
        <v>2</v>
      </c>
      <c r="H38" s="8" t="n">
        <v>5</v>
      </c>
      <c r="I38" s="8" t="n">
        <v>4</v>
      </c>
      <c r="J38" s="8" t="n">
        <v>5</v>
      </c>
      <c r="K38" s="8" t="n">
        <v>4</v>
      </c>
      <c r="L38" s="8" t="n">
        <v>4</v>
      </c>
      <c r="M38" s="8" t="n">
        <v>10</v>
      </c>
      <c r="N38" s="8" t="s">
        <v>47</v>
      </c>
      <c r="O38" s="9" t="n">
        <f aca="false">AVERAGE(D38:L38)</f>
        <v>3.88888888888889</v>
      </c>
    </row>
    <row r="39" customFormat="false" ht="15" hidden="false" customHeight="false" outlineLevel="0" collapsed="false">
      <c r="A39" s="4" t="s">
        <v>72</v>
      </c>
      <c r="B39" s="4" t="s">
        <v>18</v>
      </c>
      <c r="C39" s="5" t="s">
        <v>19</v>
      </c>
      <c r="D39" s="5" t="n">
        <v>1</v>
      </c>
      <c r="E39" s="5" t="n">
        <v>4</v>
      </c>
      <c r="F39" s="5" t="n">
        <v>4</v>
      </c>
      <c r="G39" s="5" t="n">
        <v>4</v>
      </c>
      <c r="H39" s="5" t="n">
        <v>5</v>
      </c>
      <c r="I39" s="5" t="n">
        <v>3</v>
      </c>
      <c r="J39" s="5" t="n">
        <v>3</v>
      </c>
      <c r="K39" s="5" t="n">
        <v>4</v>
      </c>
      <c r="L39" s="5" t="n">
        <v>5</v>
      </c>
      <c r="M39" s="5" t="n">
        <v>8</v>
      </c>
      <c r="N39" s="5" t="s">
        <v>63</v>
      </c>
      <c r="O39" s="6" t="n">
        <f aca="false">AVERAGE(D39:L39)</f>
        <v>3.66666666666667</v>
      </c>
    </row>
    <row r="40" customFormat="false" ht="15" hidden="false" customHeight="false" outlineLevel="0" collapsed="false">
      <c r="A40" s="7" t="s">
        <v>73</v>
      </c>
      <c r="B40" s="7" t="s">
        <v>29</v>
      </c>
      <c r="C40" s="8" t="s">
        <v>19</v>
      </c>
      <c r="D40" s="8" t="n">
        <v>5</v>
      </c>
      <c r="E40" s="8" t="n">
        <v>4</v>
      </c>
      <c r="F40" s="8" t="n">
        <v>4</v>
      </c>
      <c r="G40" s="8" t="n">
        <v>4</v>
      </c>
      <c r="H40" s="8" t="n">
        <v>4</v>
      </c>
      <c r="I40" s="8" t="n">
        <v>4</v>
      </c>
      <c r="J40" s="8" t="n">
        <v>4</v>
      </c>
      <c r="K40" s="8" t="n">
        <v>5</v>
      </c>
      <c r="L40" s="8" t="n">
        <v>5</v>
      </c>
      <c r="M40" s="8" t="n">
        <v>8</v>
      </c>
      <c r="N40" s="8" t="s">
        <v>49</v>
      </c>
      <c r="O40" s="9" t="n">
        <f aca="false">AVERAGE(D40:L40)</f>
        <v>4.33333333333333</v>
      </c>
    </row>
    <row r="41" customFormat="false" ht="15" hidden="false" customHeight="false" outlineLevel="0" collapsed="false">
      <c r="A41" s="4" t="s">
        <v>74</v>
      </c>
      <c r="B41" s="4" t="s">
        <v>32</v>
      </c>
      <c r="C41" s="5" t="s">
        <v>27</v>
      </c>
      <c r="D41" s="5" t="n">
        <v>5</v>
      </c>
      <c r="E41" s="5" t="n">
        <v>3</v>
      </c>
      <c r="F41" s="5" t="n">
        <v>5</v>
      </c>
      <c r="G41" s="5" t="n">
        <v>5</v>
      </c>
      <c r="H41" s="5" t="n">
        <v>2</v>
      </c>
      <c r="I41" s="5" t="n">
        <v>4</v>
      </c>
      <c r="J41" s="5" t="n">
        <v>4</v>
      </c>
      <c r="K41" s="5" t="n">
        <v>3</v>
      </c>
      <c r="L41" s="5" t="n">
        <v>5</v>
      </c>
      <c r="M41" s="5" t="n">
        <v>7</v>
      </c>
      <c r="N41" s="5"/>
      <c r="O41" s="6" t="n">
        <f aca="false">AVERAGE(D41:L41)</f>
        <v>4</v>
      </c>
    </row>
    <row r="42" customFormat="false" ht="15" hidden="false" customHeight="false" outlineLevel="0" collapsed="false">
      <c r="A42" s="7" t="s">
        <v>75</v>
      </c>
      <c r="B42" s="7" t="s">
        <v>45</v>
      </c>
      <c r="C42" s="8" t="s">
        <v>27</v>
      </c>
      <c r="D42" s="8" t="n">
        <v>4</v>
      </c>
      <c r="E42" s="8" t="n">
        <v>3</v>
      </c>
      <c r="F42" s="8" t="n">
        <v>5</v>
      </c>
      <c r="G42" s="8" t="n">
        <v>4</v>
      </c>
      <c r="H42" s="8" t="n">
        <v>2</v>
      </c>
      <c r="I42" s="8" t="n">
        <v>5</v>
      </c>
      <c r="J42" s="8" t="n">
        <v>5</v>
      </c>
      <c r="K42" s="8" t="n">
        <v>4</v>
      </c>
      <c r="L42" s="8" t="n">
        <v>1</v>
      </c>
      <c r="M42" s="8" t="n">
        <v>10</v>
      </c>
      <c r="N42" s="8" t="s">
        <v>49</v>
      </c>
      <c r="O42" s="9" t="n">
        <f aca="false">AVERAGE(D42:L42)</f>
        <v>3.66666666666667</v>
      </c>
    </row>
    <row r="43" customFormat="false" ht="15" hidden="false" customHeight="false" outlineLevel="0" collapsed="false">
      <c r="A43" s="4" t="s">
        <v>76</v>
      </c>
      <c r="B43" s="4" t="s">
        <v>29</v>
      </c>
      <c r="C43" s="5" t="s">
        <v>19</v>
      </c>
      <c r="D43" s="5" t="n">
        <v>5</v>
      </c>
      <c r="E43" s="5" t="n">
        <v>2</v>
      </c>
      <c r="F43" s="5" t="n">
        <v>5</v>
      </c>
      <c r="G43" s="5" t="n">
        <v>4</v>
      </c>
      <c r="H43" s="5" t="n">
        <v>4</v>
      </c>
      <c r="I43" s="5" t="n">
        <v>5</v>
      </c>
      <c r="J43" s="5" t="n">
        <v>3</v>
      </c>
      <c r="K43" s="5" t="n">
        <v>4</v>
      </c>
      <c r="L43" s="5" t="n">
        <v>4</v>
      </c>
      <c r="M43" s="5" t="n">
        <v>8</v>
      </c>
      <c r="N43" s="5" t="s">
        <v>30</v>
      </c>
      <c r="O43" s="6" t="n">
        <f aca="false">AVERAGE(D43:L43)</f>
        <v>4</v>
      </c>
    </row>
    <row r="44" customFormat="false" ht="15" hidden="false" customHeight="false" outlineLevel="0" collapsed="false">
      <c r="A44" s="7" t="s">
        <v>77</v>
      </c>
      <c r="B44" s="7" t="s">
        <v>37</v>
      </c>
      <c r="C44" s="8" t="s">
        <v>19</v>
      </c>
      <c r="D44" s="8" t="n">
        <v>1</v>
      </c>
      <c r="E44" s="8" t="n">
        <v>5</v>
      </c>
      <c r="F44" s="8" t="n">
        <v>3</v>
      </c>
      <c r="G44" s="8" t="n">
        <v>4</v>
      </c>
      <c r="H44" s="8" t="n">
        <v>4</v>
      </c>
      <c r="I44" s="8" t="n">
        <v>4</v>
      </c>
      <c r="J44" s="8" t="n">
        <v>4</v>
      </c>
      <c r="K44" s="8" t="n">
        <v>4</v>
      </c>
      <c r="L44" s="8" t="n">
        <v>4</v>
      </c>
      <c r="M44" s="8" t="n">
        <v>7</v>
      </c>
      <c r="N44" s="8"/>
      <c r="O44" s="9" t="n">
        <f aca="false">AVERAGE(D44:L44)</f>
        <v>3.66666666666667</v>
      </c>
    </row>
    <row r="45" customFormat="false" ht="15" hidden="false" customHeight="false" outlineLevel="0" collapsed="false">
      <c r="A45" s="4" t="s">
        <v>78</v>
      </c>
      <c r="B45" s="4" t="s">
        <v>32</v>
      </c>
      <c r="C45" s="5" t="s">
        <v>27</v>
      </c>
      <c r="D45" s="5" t="n">
        <v>5</v>
      </c>
      <c r="E45" s="5" t="n">
        <v>5</v>
      </c>
      <c r="F45" s="5" t="n">
        <v>4</v>
      </c>
      <c r="G45" s="5" t="n">
        <v>4</v>
      </c>
      <c r="H45" s="5" t="n">
        <v>3</v>
      </c>
      <c r="I45" s="5" t="n">
        <v>1</v>
      </c>
      <c r="J45" s="5" t="n">
        <v>3</v>
      </c>
      <c r="K45" s="5" t="n">
        <v>4</v>
      </c>
      <c r="L45" s="5" t="n">
        <v>3</v>
      </c>
      <c r="M45" s="5" t="n">
        <v>10</v>
      </c>
      <c r="N45" s="5" t="s">
        <v>24</v>
      </c>
      <c r="O45" s="6" t="n">
        <f aca="false">AVERAGE(D45:L45)</f>
        <v>3.55555555555556</v>
      </c>
    </row>
    <row r="46" customFormat="false" ht="15" hidden="false" customHeight="false" outlineLevel="0" collapsed="false">
      <c r="A46" s="7" t="s">
        <v>79</v>
      </c>
      <c r="B46" s="7" t="s">
        <v>18</v>
      </c>
      <c r="C46" s="8" t="s">
        <v>23</v>
      </c>
      <c r="D46" s="8" t="n">
        <v>1</v>
      </c>
      <c r="E46" s="8" t="n">
        <v>3</v>
      </c>
      <c r="F46" s="8" t="n">
        <v>3</v>
      </c>
      <c r="G46" s="8" t="n">
        <v>4</v>
      </c>
      <c r="H46" s="8" t="n">
        <v>3</v>
      </c>
      <c r="I46" s="8" t="n">
        <v>4</v>
      </c>
      <c r="J46" s="8" t="n">
        <v>4</v>
      </c>
      <c r="K46" s="8" t="n">
        <v>3</v>
      </c>
      <c r="L46" s="8" t="n">
        <v>3</v>
      </c>
      <c r="M46" s="8" t="n">
        <v>9</v>
      </c>
      <c r="N46" s="8" t="s">
        <v>53</v>
      </c>
      <c r="O46" s="9" t="n">
        <f aca="false">AVERAGE(D46:L46)</f>
        <v>3.11111111111111</v>
      </c>
    </row>
    <row r="48" customFormat="false" ht="15" hidden="false" customHeight="false" outlineLevel="0" collapsed="false">
      <c r="A48" s="10" t="s">
        <v>80</v>
      </c>
    </row>
    <row r="49" customFormat="false" ht="15" hidden="false" customHeight="false" outlineLevel="0" collapsed="false">
      <c r="A49" s="11" t="s">
        <v>81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82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83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0" t="s">
        <v>84</v>
      </c>
    </row>
    <row r="5" customFormat="false" ht="15" hidden="false" customHeight="false" outlineLevel="0" collapsed="false">
      <c r="A5" s="12" t="s">
        <v>85</v>
      </c>
      <c r="B5" s="12" t="n">
        <v>287</v>
      </c>
    </row>
    <row r="6" customFormat="false" ht="15" hidden="false" customHeight="false" outlineLevel="0" collapsed="false">
      <c r="A6" s="12" t="s">
        <v>86</v>
      </c>
      <c r="B6" s="12" t="n">
        <f aca="false">COUNTA('Raw Responses'!A5:A46)</f>
        <v>42</v>
      </c>
    </row>
    <row r="7" customFormat="false" ht="15" hidden="false" customHeight="false" outlineLevel="0" collapsed="false">
      <c r="A7" s="12" t="s">
        <v>87</v>
      </c>
      <c r="B7" s="13" t="n">
        <f aca="false">B6/B5</f>
        <v>0.146341463414634</v>
      </c>
    </row>
    <row r="8" customFormat="false" ht="15" hidden="false" customHeight="false" outlineLevel="0" collapsed="false">
      <c r="A8" s="12" t="s">
        <v>88</v>
      </c>
      <c r="B8" s="12" t="n">
        <f aca="false">AVERAGE('Raw Responses'!D5:L46)</f>
        <v>3.82275132275132</v>
      </c>
    </row>
    <row r="9" customFormat="false" ht="15" hidden="false" customHeight="false" outlineLevel="0" collapsed="false">
      <c r="A9" s="12" t="s">
        <v>89</v>
      </c>
      <c r="B9" s="14" t="n">
        <f aca="false">(COUNTIF('Raw Responses'!M5:M46,"&gt;=9")-COUNTIF('Raw Responses'!M5:M46,"&lt;=6"))/COUNTA('Raw Responses'!M5:M46)</f>
        <v>0.142857142857143</v>
      </c>
    </row>
    <row r="11" customFormat="false" ht="15" hidden="false" customHeight="false" outlineLevel="0" collapsed="false">
      <c r="A11" s="10" t="s">
        <v>90</v>
      </c>
    </row>
    <row r="12" customFormat="false" ht="30" hidden="false" customHeight="true" outlineLevel="0" collapsed="false">
      <c r="A12" s="3" t="s">
        <v>91</v>
      </c>
      <c r="B12" s="3" t="s">
        <v>92</v>
      </c>
    </row>
    <row r="13" customFormat="false" ht="15" hidden="false" customHeight="false" outlineLevel="0" collapsed="false">
      <c r="A13" s="12" t="s">
        <v>93</v>
      </c>
      <c r="B13" s="15" t="n">
        <f aca="false">AVERAGE('Raw Responses'!D5:D46)</f>
        <v>3.95238095238095</v>
      </c>
    </row>
    <row r="14" customFormat="false" ht="15" hidden="false" customHeight="false" outlineLevel="0" collapsed="false">
      <c r="A14" s="12" t="s">
        <v>94</v>
      </c>
      <c r="B14" s="15" t="n">
        <f aca="false">AVERAGE('Raw Responses'!E5:E46)</f>
        <v>3.83333333333333</v>
      </c>
    </row>
    <row r="15" customFormat="false" ht="15" hidden="false" customHeight="false" outlineLevel="0" collapsed="false">
      <c r="A15" s="12" t="s">
        <v>95</v>
      </c>
      <c r="B15" s="15" t="n">
        <f aca="false">AVERAGE('Raw Responses'!F5:F46)</f>
        <v>4.02380952380952</v>
      </c>
    </row>
    <row r="16" customFormat="false" ht="15" hidden="false" customHeight="false" outlineLevel="0" collapsed="false">
      <c r="A16" s="12" t="s">
        <v>96</v>
      </c>
      <c r="B16" s="15" t="n">
        <f aca="false">AVERAGE('Raw Responses'!G5:G46)</f>
        <v>3.73809523809524</v>
      </c>
    </row>
    <row r="17" customFormat="false" ht="15" hidden="false" customHeight="false" outlineLevel="0" collapsed="false">
      <c r="A17" s="12" t="s">
        <v>97</v>
      </c>
      <c r="B17" s="15" t="n">
        <f aca="false">AVERAGE('Raw Responses'!H5:H46)</f>
        <v>3.71428571428571</v>
      </c>
    </row>
    <row r="18" customFormat="false" ht="15" hidden="false" customHeight="false" outlineLevel="0" collapsed="false">
      <c r="A18" s="12" t="s">
        <v>98</v>
      </c>
      <c r="B18" s="15" t="n">
        <f aca="false">AVERAGE('Raw Responses'!I5:I46)</f>
        <v>3.88095238095238</v>
      </c>
    </row>
    <row r="19" customFormat="false" ht="15" hidden="false" customHeight="false" outlineLevel="0" collapsed="false">
      <c r="A19" s="12" t="s">
        <v>99</v>
      </c>
      <c r="B19" s="15" t="n">
        <f aca="false">AVERAGE('Raw Responses'!J5:J46)</f>
        <v>3.57142857142857</v>
      </c>
    </row>
    <row r="20" customFormat="false" ht="15" hidden="false" customHeight="false" outlineLevel="0" collapsed="false">
      <c r="A20" s="12" t="s">
        <v>100</v>
      </c>
      <c r="B20" s="15" t="n">
        <f aca="false">AVERAGE('Raw Responses'!K5:K46)</f>
        <v>3.92857142857143</v>
      </c>
    </row>
    <row r="21" customFormat="false" ht="15" hidden="false" customHeight="false" outlineLevel="0" collapsed="false">
      <c r="A21" s="12" t="s">
        <v>101</v>
      </c>
      <c r="B21" s="15" t="n">
        <f aca="false">AVERAGE('Raw Responses'!L5:L46)</f>
        <v>3.76190476190476</v>
      </c>
    </row>
    <row r="23" customFormat="false" ht="15" hidden="false" customHeight="false" outlineLevel="0" collapsed="false">
      <c r="A23" s="10" t="s">
        <v>102</v>
      </c>
    </row>
    <row r="24" customFormat="false" ht="30" hidden="false" customHeight="true" outlineLevel="0" collapsed="false">
      <c r="A24" s="3" t="s">
        <v>3</v>
      </c>
      <c r="B24" s="3" t="s">
        <v>103</v>
      </c>
      <c r="C24" s="3" t="s">
        <v>104</v>
      </c>
    </row>
    <row r="25" customFormat="false" ht="15" hidden="false" customHeight="false" outlineLevel="0" collapsed="false">
      <c r="A25" s="12" t="s">
        <v>29</v>
      </c>
      <c r="B25" s="16" t="n">
        <f aca="false">IFERROR(AVERAGEIF('Raw Responses'!B5:B46,A25,'Raw Responses'!O5:O46),"No responses")</f>
        <v>3.91111111111111</v>
      </c>
      <c r="C25" s="17" t="n">
        <f aca="false">COUNTIF('Raw Responses'!B5:B46,A25)</f>
        <v>5</v>
      </c>
    </row>
    <row r="26" customFormat="false" ht="15" hidden="false" customHeight="false" outlineLevel="0" collapsed="false">
      <c r="A26" s="12" t="s">
        <v>26</v>
      </c>
      <c r="B26" s="16" t="n">
        <f aca="false">IFERROR(AVERAGEIF('Raw Responses'!B5:B46,A26,'Raw Responses'!O5:O46),"No responses")</f>
        <v>3.66666666666667</v>
      </c>
      <c r="C26" s="17" t="n">
        <f aca="false">COUNTIF('Raw Responses'!B5:B46,A26)</f>
        <v>4</v>
      </c>
    </row>
    <row r="27" customFormat="false" ht="15" hidden="false" customHeight="false" outlineLevel="0" collapsed="false">
      <c r="A27" s="12" t="s">
        <v>18</v>
      </c>
      <c r="B27" s="16" t="n">
        <f aca="false">IFERROR(AVERAGEIF('Raw Responses'!B5:B46,A27,'Raw Responses'!O5:O46),"No responses")</f>
        <v>3.93333333333333</v>
      </c>
      <c r="C27" s="17" t="n">
        <f aca="false">COUNTIF('Raw Responses'!B5:B46,A27)</f>
        <v>10</v>
      </c>
    </row>
    <row r="28" customFormat="false" ht="15" hidden="false" customHeight="false" outlineLevel="0" collapsed="false">
      <c r="A28" s="12" t="s">
        <v>39</v>
      </c>
      <c r="B28" s="16" t="n">
        <f aca="false">IFERROR(AVERAGEIF('Raw Responses'!B5:B46,A28,'Raw Responses'!O5:O46),"No responses")</f>
        <v>3.88888888888889</v>
      </c>
      <c r="C28" s="17" t="n">
        <f aca="false">COUNTIF('Raw Responses'!B5:B46,A28)</f>
        <v>5</v>
      </c>
    </row>
    <row r="29" customFormat="false" ht="15" hidden="false" customHeight="false" outlineLevel="0" collapsed="false">
      <c r="A29" s="12" t="s">
        <v>45</v>
      </c>
      <c r="B29" s="16" t="n">
        <f aca="false">IFERROR(AVERAGEIF('Raw Responses'!B5:B46,A29,'Raw Responses'!O5:O46),"No responses")</f>
        <v>3.77777777777778</v>
      </c>
      <c r="C29" s="17" t="n">
        <f aca="false">COUNTIF('Raw Responses'!B5:B46,A29)</f>
        <v>3</v>
      </c>
    </row>
    <row r="30" customFormat="false" ht="15" hidden="false" customHeight="false" outlineLevel="0" collapsed="false">
      <c r="A30" s="12" t="s">
        <v>37</v>
      </c>
      <c r="B30" s="16" t="n">
        <f aca="false">IFERROR(AVERAGEIF('Raw Responses'!B5:B46,A30,'Raw Responses'!O5:O46),"No responses")</f>
        <v>3.81481481481482</v>
      </c>
      <c r="C30" s="17" t="n">
        <f aca="false">COUNTIF('Raw Responses'!B5:B46,A30)</f>
        <v>3</v>
      </c>
    </row>
    <row r="31" customFormat="false" ht="15" hidden="false" customHeight="false" outlineLevel="0" collapsed="false">
      <c r="A31" s="12" t="s">
        <v>22</v>
      </c>
      <c r="B31" s="16" t="n">
        <f aca="false">IFERROR(AVERAGEIF('Raw Responses'!B5:B46,A31,'Raw Responses'!O5:O46),"No responses")</f>
        <v>3.57777777777778</v>
      </c>
      <c r="C31" s="17" t="n">
        <f aca="false">COUNTIF('Raw Responses'!B5:B46,A31)</f>
        <v>5</v>
      </c>
    </row>
    <row r="32" customFormat="false" ht="15" hidden="false" customHeight="false" outlineLevel="0" collapsed="false">
      <c r="A32" s="12" t="s">
        <v>32</v>
      </c>
      <c r="B32" s="16" t="n">
        <f aca="false">IFERROR(AVERAGEIF('Raw Responses'!B5:B46,A32,'Raw Responses'!O5:O46),"No responses")</f>
        <v>3.84126984126984</v>
      </c>
      <c r="C32" s="17" t="n">
        <f aca="false">COUNTIF('Raw Responses'!B5:B46,A32)</f>
        <v>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2026-09-02T18:47:44Z</dcterms:created>
  <dc:creator>openpyxl</dc:creator>
  <dc:description/>
  <dc:language>en-US</dc:language>
  <cp:lastModifiedBy/>
  <dcterms:modified xsi:type="dcterms:W3CDTF">2026-09-02T18:47:44Z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